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oldi\Documents\Teaching\StatisticalModelling\2018-2019\Module_02\"/>
    </mc:Choice>
  </mc:AlternateContent>
  <bookViews>
    <workbookView xWindow="0" yWindow="0" windowWidth="15225" windowHeight="11310"/>
  </bookViews>
  <sheets>
    <sheet name="IQ" sheetId="1" r:id="rId1"/>
    <sheet name="Regression" sheetId="2" r:id="rId2"/>
    <sheet name="Work" sheetId="3" r:id="rId3"/>
  </sheets>
  <definedNames>
    <definedName name="solver_adj" localSheetId="2" hidden="1">Work!$J$4:$M$4</definedName>
    <definedName name="solver_cvg" localSheetId="2" hidden="1">0.0001</definedName>
    <definedName name="solver_drv" localSheetId="2" hidden="1">1</definedName>
    <definedName name="solver_eng" localSheetId="2" hidden="1">1</definedName>
    <definedName name="solver_est" localSheetId="2" hidden="1">1</definedName>
    <definedName name="solver_itr" localSheetId="2" hidden="1">2147483647</definedName>
    <definedName name="solver_mip" localSheetId="2" hidden="1">2147483647</definedName>
    <definedName name="solver_mni" localSheetId="2" hidden="1">30</definedName>
    <definedName name="solver_mrt" localSheetId="2" hidden="1">0.075</definedName>
    <definedName name="solver_msl" localSheetId="2" hidden="1">2</definedName>
    <definedName name="solver_neg" localSheetId="2" hidden="1">2</definedName>
    <definedName name="solver_nod" localSheetId="2" hidden="1">2147483647</definedName>
    <definedName name="solver_num" localSheetId="2" hidden="1">0</definedName>
    <definedName name="solver_nwt" localSheetId="2" hidden="1">1</definedName>
    <definedName name="solver_opt" localSheetId="2" hidden="1">Work!$J$9</definedName>
    <definedName name="solver_pre" localSheetId="2" hidden="1">0.000001</definedName>
    <definedName name="solver_rbv" localSheetId="2" hidden="1">1</definedName>
    <definedName name="solver_rlx" localSheetId="2" hidden="1">2</definedName>
    <definedName name="solver_rsd" localSheetId="2" hidden="1">0</definedName>
    <definedName name="solver_scl" localSheetId="2" hidden="1">1</definedName>
    <definedName name="solver_sho" localSheetId="2" hidden="1">2</definedName>
    <definedName name="solver_ssz" localSheetId="2" hidden="1">100</definedName>
    <definedName name="solver_tim" localSheetId="2" hidden="1">2147483647</definedName>
    <definedName name="solver_tol" localSheetId="2" hidden="1">0.01</definedName>
    <definedName name="solver_typ" localSheetId="2" hidden="1">2</definedName>
    <definedName name="solver_val" localSheetId="2" hidden="1">0</definedName>
    <definedName name="solver_ver" localSheetId="2" hidden="1">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9" i="3" l="1"/>
  <c r="K17" i="3"/>
  <c r="K16" i="3"/>
  <c r="K18" i="3"/>
  <c r="L9" i="3"/>
  <c r="K9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3" i="3"/>
  <c r="J13" i="3"/>
  <c r="E4" i="3"/>
  <c r="F4" i="3" s="1"/>
  <c r="G4" i="3" s="1"/>
  <c r="E5" i="3"/>
  <c r="F5" i="3" s="1"/>
  <c r="G5" i="3" s="1"/>
  <c r="E6" i="3"/>
  <c r="F6" i="3" s="1"/>
  <c r="G6" i="3" s="1"/>
  <c r="E7" i="3"/>
  <c r="F7" i="3" s="1"/>
  <c r="G7" i="3" s="1"/>
  <c r="E8" i="3"/>
  <c r="F8" i="3" s="1"/>
  <c r="G8" i="3" s="1"/>
  <c r="E9" i="3"/>
  <c r="F9" i="3" s="1"/>
  <c r="G9" i="3" s="1"/>
  <c r="E10" i="3"/>
  <c r="F10" i="3" s="1"/>
  <c r="G10" i="3" s="1"/>
  <c r="E11" i="3"/>
  <c r="F11" i="3" s="1"/>
  <c r="G11" i="3" s="1"/>
  <c r="E12" i="3"/>
  <c r="F12" i="3" s="1"/>
  <c r="G12" i="3" s="1"/>
  <c r="E13" i="3"/>
  <c r="F13" i="3" s="1"/>
  <c r="G13" i="3" s="1"/>
  <c r="E14" i="3"/>
  <c r="F14" i="3" s="1"/>
  <c r="G14" i="3" s="1"/>
  <c r="E15" i="3"/>
  <c r="F15" i="3" s="1"/>
  <c r="G15" i="3" s="1"/>
  <c r="E16" i="3"/>
  <c r="F16" i="3" s="1"/>
  <c r="G16" i="3" s="1"/>
  <c r="E17" i="3"/>
  <c r="F17" i="3" s="1"/>
  <c r="G17" i="3" s="1"/>
  <c r="E18" i="3"/>
  <c r="F18" i="3" s="1"/>
  <c r="G18" i="3" s="1"/>
  <c r="E19" i="3"/>
  <c r="F19" i="3" s="1"/>
  <c r="G19" i="3" s="1"/>
  <c r="E20" i="3"/>
  <c r="F20" i="3" s="1"/>
  <c r="G20" i="3" s="1"/>
  <c r="E21" i="3"/>
  <c r="F21" i="3" s="1"/>
  <c r="G21" i="3" s="1"/>
  <c r="E22" i="3"/>
  <c r="F22" i="3" s="1"/>
  <c r="G22" i="3" s="1"/>
  <c r="E23" i="3"/>
  <c r="F23" i="3" s="1"/>
  <c r="G23" i="3" s="1"/>
  <c r="E24" i="3"/>
  <c r="F24" i="3" s="1"/>
  <c r="G24" i="3" s="1"/>
  <c r="E25" i="3"/>
  <c r="F25" i="3" s="1"/>
  <c r="G25" i="3" s="1"/>
  <c r="E26" i="3"/>
  <c r="F26" i="3" s="1"/>
  <c r="G26" i="3" s="1"/>
  <c r="E27" i="3"/>
  <c r="F27" i="3" s="1"/>
  <c r="G27" i="3" s="1"/>
  <c r="E28" i="3"/>
  <c r="F28" i="3" s="1"/>
  <c r="G28" i="3" s="1"/>
  <c r="E29" i="3"/>
  <c r="F29" i="3" s="1"/>
  <c r="G29" i="3" s="1"/>
  <c r="E30" i="3"/>
  <c r="F30" i="3" s="1"/>
  <c r="G30" i="3" s="1"/>
  <c r="E31" i="3"/>
  <c r="F31" i="3" s="1"/>
  <c r="G31" i="3" s="1"/>
  <c r="E32" i="3"/>
  <c r="F32" i="3" s="1"/>
  <c r="G32" i="3" s="1"/>
  <c r="E33" i="3"/>
  <c r="F33" i="3" s="1"/>
  <c r="G33" i="3" s="1"/>
  <c r="E34" i="3"/>
  <c r="F34" i="3" s="1"/>
  <c r="G34" i="3" s="1"/>
  <c r="E35" i="3"/>
  <c r="F35" i="3" s="1"/>
  <c r="G35" i="3" s="1"/>
  <c r="E36" i="3"/>
  <c r="F36" i="3" s="1"/>
  <c r="G36" i="3" s="1"/>
  <c r="E37" i="3"/>
  <c r="F37" i="3" s="1"/>
  <c r="G37" i="3" s="1"/>
  <c r="E38" i="3"/>
  <c r="F38" i="3" s="1"/>
  <c r="G38" i="3" s="1"/>
  <c r="E39" i="3"/>
  <c r="F39" i="3" s="1"/>
  <c r="G39" i="3" s="1"/>
  <c r="E40" i="3"/>
  <c r="F40" i="3" s="1"/>
  <c r="G40" i="3" s="1"/>
  <c r="E3" i="3"/>
  <c r="F3" i="3" s="1"/>
  <c r="G3" i="3" s="1"/>
  <c r="J9" i="3" l="1"/>
</calcChain>
</file>

<file path=xl/sharedStrings.xml><?xml version="1.0" encoding="utf-8"?>
<sst xmlns="http://schemas.openxmlformats.org/spreadsheetml/2006/main" count="69" uniqueCount="55">
  <si>
    <t>PIQ</t>
  </si>
  <si>
    <t>Brain</t>
  </si>
  <si>
    <t>Height</t>
  </si>
  <si>
    <t>Weight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</si>
  <si>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</si>
  <si>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</si>
  <si>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</si>
  <si>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</si>
  <si>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</si>
  <si>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</si>
  <si>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</si>
  <si>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</si>
  <si>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</si>
  <si>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</si>
  <si>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</si>
  <si>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</si>
  <si>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</si>
  <si>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</si>
  <si>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</si>
  <si>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</si>
  <si>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</si>
  <si>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</si>
  <si>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</si>
  <si>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</si>
  <si>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</si>
  <si>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</si>
  <si>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</si>
  <si>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</si>
  <si>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</si>
  <si>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</si>
  <si>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PIQ</t>
  </si>
  <si>
    <t>Residuals</t>
  </si>
  <si>
    <t>Standard Residuals</t>
  </si>
  <si>
    <t>Fitted</t>
  </si>
  <si>
    <t>Resid^2</t>
  </si>
  <si>
    <t>SS_T</t>
  </si>
  <si>
    <t>SS_R</t>
  </si>
  <si>
    <t>SS_e</t>
  </si>
  <si>
    <t xml:space="preserve">Sum of Squares </t>
  </si>
  <si>
    <t>Average y_bar</t>
  </si>
  <si>
    <t>y_hat</t>
  </si>
  <si>
    <t>y - y_hat</t>
  </si>
  <si>
    <t>(y - y_hat)^2</t>
  </si>
  <si>
    <t>y - y_bar</t>
  </si>
  <si>
    <t>R^2</t>
  </si>
  <si>
    <t>a_R^2</t>
  </si>
  <si>
    <t>n</t>
  </si>
  <si>
    <t>p</t>
  </si>
  <si>
    <t>PIQ is the outcome</t>
  </si>
  <si>
    <t>Brain, Height, Weight are the independent variables</t>
  </si>
  <si>
    <t>Regression with Excel</t>
  </si>
  <si>
    <t>Y: the outcome column</t>
  </si>
  <si>
    <t>X: the independent variables columns</t>
  </si>
  <si>
    <t>Labels: if column titles are included</t>
  </si>
  <si>
    <t>Output: will create a new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</si>
</sst>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  <xf numFmtId="0" fontId="0" fillId="2" borderId="0" xfId="0" applyFill="1"/>
    <xf numFmtId="0" fontId="0" fillId="3" borderId="0" xfId="0" applyFill="1"/>
    <xf numFmtId="0" fontId="0" fillId="0" borderId="3" xfId="0" applyBorder="1"/>
    <xf numFmtId="0" fontId="0" fillId="2" borderId="3" xfId="0" applyFill="1" applyBorder="1"/>
    <xf numFmtId="0" fontId="0" fillId="3" borderId="3" xfId="0" applyFill="1" applyBorder="1"/>
    <xf numFmtId="0" fontId="1" fillId="0" borderId="0" xfId="0" applyFont="1"/>
    <xf numFmtId="0" fontId="1" fillId="0" borderId="3" xfId="0" applyFont="1" applyBorder="1"/>
    <xf numFmtId="0" fontId="0" fillId="0" borderId="0" xfId="0" quotePrefix="1"/>
    <xf numFmtId="0" fontId="3" fillId="4" borderId="2" xfId="0" applyFont="1" applyFill="1" applyBorder="1" applyAlignment="1">
      <alignment horizontal="center"/>
    </xf>
    <xf numFmtId="0" fontId="0" fillId="4" borderId="0" xfId="0" applyFill="1" applyBorder="1" applyAlignment="1"/>
    <xf numFmtId="0" fontId="0" fillId="4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564718</xdr:colOff>
      <xdr:row>4</xdr:row>
      <xdr:rowOff>95250</xdr:rowOff>
    </xdr:from>
    <xdr:to>
      <xdr:col>18</xdr:col>
      <xdr:colOff>474589</xdr:colOff>
      <xdr:row>10</xdr:row>
      <xdr:rowOff>9525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82598"/>
        <a:stretch/>
      </xdr:blipFill>
      <xdr:spPr>
        <a:xfrm>
          <a:off x="3003118" y="857250"/>
          <a:ext cx="8444271" cy="10572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8</xdr:col>
      <xdr:colOff>123825</xdr:colOff>
      <xdr:row>4</xdr:row>
      <xdr:rowOff>180975</xdr:rowOff>
    </xdr:from>
    <xdr:to>
      <xdr:col>9</xdr:col>
      <xdr:colOff>123825</xdr:colOff>
      <xdr:row>6</xdr:row>
      <xdr:rowOff>171450</xdr:rowOff>
    </xdr:to>
    <xdr:sp macro="" textlink="">
      <xdr:nvSpPr>
        <xdr:cNvPr id="3" name="Oval 2"/>
        <xdr:cNvSpPr/>
      </xdr:nvSpPr>
      <xdr:spPr>
        <a:xfrm>
          <a:off x="5000625" y="942975"/>
          <a:ext cx="609600" cy="37147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16</xdr:col>
      <xdr:colOff>95250</xdr:colOff>
      <xdr:row>5</xdr:row>
      <xdr:rowOff>142875</xdr:rowOff>
    </xdr:from>
    <xdr:to>
      <xdr:col>17</xdr:col>
      <xdr:colOff>361950</xdr:colOff>
      <xdr:row>7</xdr:row>
      <xdr:rowOff>133350</xdr:rowOff>
    </xdr:to>
    <xdr:sp macro="" textlink="">
      <xdr:nvSpPr>
        <xdr:cNvPr id="4" name="Oval 3"/>
        <xdr:cNvSpPr/>
      </xdr:nvSpPr>
      <xdr:spPr>
        <a:xfrm>
          <a:off x="9848850" y="1095375"/>
          <a:ext cx="876300" cy="371475"/>
        </a:xfrm>
        <a:prstGeom prst="ellipse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504825</xdr:colOff>
      <xdr:row>10</xdr:row>
      <xdr:rowOff>57150</xdr:rowOff>
    </xdr:from>
    <xdr:to>
      <xdr:col>11</xdr:col>
      <xdr:colOff>75720</xdr:colOff>
      <xdr:row>20</xdr:row>
      <xdr:rowOff>75960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43225" y="1962150"/>
          <a:ext cx="3838095" cy="1923810"/>
        </a:xfrm>
        <a:prstGeom prst="rect">
          <a:avLst/>
        </a:prstGeom>
      </xdr:spPr>
    </xdr:pic>
    <xdr:clientData/>
  </xdr:twoCellAnchor>
  <xdr:twoCellAnchor editAs="oneCell">
    <xdr:from>
      <xdr:col>4</xdr:col>
      <xdr:colOff>457200</xdr:colOff>
      <xdr:row>20</xdr:row>
      <xdr:rowOff>133350</xdr:rowOff>
    </xdr:from>
    <xdr:to>
      <xdr:col>11</xdr:col>
      <xdr:colOff>247143</xdr:colOff>
      <xdr:row>39</xdr:row>
      <xdr:rowOff>94802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95600" y="3943350"/>
          <a:ext cx="4057143" cy="3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tabSelected="1" workbookViewId="0">
      <selection activeCell="N15" sqref="N15"/>
    </sheetView>
  </sheetViews>
  <sheetFormatPr defaultRowHeight="15"/>
  <sheetData>
    <row r="1" spans="1:6">
      <c r="A1" s="1" t="s">
        <v>0</v>
      </c>
      <c r="B1" t="s">
        <v>1</v>
      </c>
      <c r="C1" t="s">
        <v>2</v>
      </c>
      <c r="D1" t="s">
        <v>3</v>
      </c>
      <c r="F1" t="s">
        <v>48</v>
      </c>
    </row>
    <row r="2" spans="1:6">
      <c r="A2" s="1">
        <v>124</v>
      </c>
      <c r="B2">
        <v>81.69</v>
      </c>
      <c r="C2">
        <v>64.5</v>
      </c>
      <c r="D2">
        <v>118</v>
      </c>
      <c r="F2" t="s">
        <v>49</v>
      </c>
    </row>
    <row r="3" spans="1:6">
      <c r="A3" s="1">
        <v>150</v>
      </c>
      <c r="B3">
        <v>103.84</v>
      </c>
      <c r="C3">
        <v>73.3</v>
      </c>
      <c r="D3">
        <v>143</v>
      </c>
    </row>
    <row r="4" spans="1:6">
      <c r="A4" s="1">
        <v>128</v>
      </c>
      <c r="B4">
        <v>96.54</v>
      </c>
      <c r="C4">
        <v>68.8</v>
      </c>
      <c r="D4">
        <v>172</v>
      </c>
      <c r="F4" t="s">
        <v>50</v>
      </c>
    </row>
    <row r="5" spans="1:6">
      <c r="A5" s="1">
        <v>134</v>
      </c>
      <c r="B5">
        <v>95.15</v>
      </c>
      <c r="C5">
        <v>65</v>
      </c>
      <c r="D5">
        <v>147</v>
      </c>
      <c r="F5" s="13"/>
    </row>
    <row r="6" spans="1:6">
      <c r="A6" s="1">
        <v>110</v>
      </c>
      <c r="B6">
        <v>92.88</v>
      </c>
      <c r="C6">
        <v>69</v>
      </c>
      <c r="D6">
        <v>146</v>
      </c>
    </row>
    <row r="7" spans="1:6">
      <c r="A7" s="1">
        <v>131</v>
      </c>
      <c r="B7">
        <v>99.13</v>
      </c>
      <c r="C7">
        <v>64.5</v>
      </c>
      <c r="D7">
        <v>138</v>
      </c>
    </row>
    <row r="8" spans="1:6">
      <c r="A8" s="1">
        <v>98</v>
      </c>
      <c r="B8">
        <v>85.43</v>
      </c>
      <c r="C8">
        <v>66</v>
      </c>
      <c r="D8">
        <v>175</v>
      </c>
    </row>
    <row r="9" spans="1:6">
      <c r="A9" s="1">
        <v>84</v>
      </c>
      <c r="B9">
        <v>90.49</v>
      </c>
      <c r="C9">
        <v>66.3</v>
      </c>
      <c r="D9">
        <v>134</v>
      </c>
    </row>
    <row r="10" spans="1:6">
      <c r="A10" s="1">
        <v>147</v>
      </c>
      <c r="B10">
        <v>95.55</v>
      </c>
      <c r="C10">
        <v>68.8</v>
      </c>
      <c r="D10">
        <v>172</v>
      </c>
    </row>
    <row r="11" spans="1:6">
      <c r="A11" s="1">
        <v>124</v>
      </c>
      <c r="B11">
        <v>83.39</v>
      </c>
      <c r="C11">
        <v>64.5</v>
      </c>
      <c r="D11">
        <v>118</v>
      </c>
    </row>
    <row r="12" spans="1:6">
      <c r="A12" s="1">
        <v>128</v>
      </c>
      <c r="B12">
        <v>107.95</v>
      </c>
      <c r="C12">
        <v>70</v>
      </c>
      <c r="D12">
        <v>151</v>
      </c>
    </row>
    <row r="13" spans="1:6">
      <c r="A13" s="1">
        <v>124</v>
      </c>
      <c r="B13">
        <v>92.41</v>
      </c>
      <c r="C13">
        <v>69</v>
      </c>
      <c r="D13">
        <v>155</v>
      </c>
    </row>
    <row r="14" spans="1:6">
      <c r="A14" s="1">
        <v>147</v>
      </c>
      <c r="B14">
        <v>85.65</v>
      </c>
      <c r="C14">
        <v>70.5</v>
      </c>
      <c r="D14">
        <v>155</v>
      </c>
    </row>
    <row r="15" spans="1:6">
      <c r="A15" s="1">
        <v>90</v>
      </c>
      <c r="B15">
        <v>87.89</v>
      </c>
      <c r="C15">
        <v>66</v>
      </c>
      <c r="D15">
        <v>146</v>
      </c>
    </row>
    <row r="16" spans="1:6">
      <c r="A16" s="1">
        <v>96</v>
      </c>
      <c r="B16">
        <v>86.54</v>
      </c>
      <c r="C16">
        <v>68</v>
      </c>
      <c r="D16">
        <v>135</v>
      </c>
    </row>
    <row r="17" spans="1:13">
      <c r="A17" s="1">
        <v>120</v>
      </c>
      <c r="B17">
        <v>85.22</v>
      </c>
      <c r="C17">
        <v>68.5</v>
      </c>
      <c r="D17">
        <v>127</v>
      </c>
    </row>
    <row r="18" spans="1:13">
      <c r="A18" s="1">
        <v>102</v>
      </c>
      <c r="B18">
        <v>94.51</v>
      </c>
      <c r="C18">
        <v>73.5</v>
      </c>
      <c r="D18">
        <v>178</v>
      </c>
    </row>
    <row r="19" spans="1:13">
      <c r="A19" s="1">
        <v>84</v>
      </c>
      <c r="B19">
        <v>80.8</v>
      </c>
      <c r="C19">
        <v>66.3</v>
      </c>
      <c r="D19">
        <v>136</v>
      </c>
    </row>
    <row r="20" spans="1:13">
      <c r="A20" s="1">
        <v>86</v>
      </c>
      <c r="B20">
        <v>88.91</v>
      </c>
      <c r="C20">
        <v>70</v>
      </c>
      <c r="D20">
        <v>180</v>
      </c>
    </row>
    <row r="21" spans="1:13">
      <c r="A21" s="1">
        <v>84</v>
      </c>
      <c r="B21">
        <v>90.59</v>
      </c>
      <c r="C21">
        <v>76.5</v>
      </c>
      <c r="D21">
        <v>186</v>
      </c>
    </row>
    <row r="22" spans="1:13">
      <c r="A22" s="1">
        <v>134</v>
      </c>
      <c r="B22">
        <v>79.06</v>
      </c>
      <c r="C22">
        <v>62</v>
      </c>
      <c r="D22">
        <v>122</v>
      </c>
    </row>
    <row r="23" spans="1:13">
      <c r="A23" s="1">
        <v>128</v>
      </c>
      <c r="B23">
        <v>95.5</v>
      </c>
      <c r="C23">
        <v>68</v>
      </c>
      <c r="D23">
        <v>132</v>
      </c>
    </row>
    <row r="24" spans="1:13">
      <c r="A24" s="1">
        <v>102</v>
      </c>
      <c r="B24">
        <v>83.18</v>
      </c>
      <c r="C24">
        <v>63</v>
      </c>
      <c r="D24">
        <v>114</v>
      </c>
      <c r="M24" t="s">
        <v>51</v>
      </c>
    </row>
    <row r="25" spans="1:13">
      <c r="A25" s="1">
        <v>131</v>
      </c>
      <c r="B25">
        <v>93.55</v>
      </c>
      <c r="C25">
        <v>72</v>
      </c>
      <c r="D25">
        <v>171</v>
      </c>
      <c r="M25" t="s">
        <v>52</v>
      </c>
    </row>
    <row r="26" spans="1:13">
      <c r="A26" s="1">
        <v>84</v>
      </c>
      <c r="B26">
        <v>79.86</v>
      </c>
      <c r="C26">
        <v>68</v>
      </c>
      <c r="D26">
        <v>140</v>
      </c>
      <c r="M26" t="s">
        <v>53</v>
      </c>
    </row>
    <row r="27" spans="1:13">
      <c r="A27" s="1">
        <v>110</v>
      </c>
      <c r="B27">
        <v>106.25</v>
      </c>
      <c r="C27">
        <v>77</v>
      </c>
      <c r="D27">
        <v>187</v>
      </c>
      <c r="M27" t="s">
        <v>54</v>
      </c>
    </row>
    <row r="28" spans="1:13">
      <c r="A28" s="1">
        <v>72</v>
      </c>
      <c r="B28">
        <v>79.349999999999994</v>
      </c>
      <c r="C28">
        <v>63</v>
      </c>
      <c r="D28">
        <v>106</v>
      </c>
    </row>
    <row r="29" spans="1:13">
      <c r="A29" s="1">
        <v>124</v>
      </c>
      <c r="B29">
        <v>86.67</v>
      </c>
      <c r="C29">
        <v>66.5</v>
      </c>
      <c r="D29">
        <v>159</v>
      </c>
    </row>
    <row r="30" spans="1:13">
      <c r="A30" s="1">
        <v>132</v>
      </c>
      <c r="B30">
        <v>85.78</v>
      </c>
      <c r="C30">
        <v>62.5</v>
      </c>
      <c r="D30">
        <v>127</v>
      </c>
    </row>
    <row r="31" spans="1:13">
      <c r="A31" s="1">
        <v>137</v>
      </c>
      <c r="B31">
        <v>94.96</v>
      </c>
      <c r="C31">
        <v>67</v>
      </c>
      <c r="D31">
        <v>191</v>
      </c>
    </row>
    <row r="32" spans="1:13">
      <c r="A32" s="1">
        <v>110</v>
      </c>
      <c r="B32">
        <v>99.79</v>
      </c>
      <c r="C32">
        <v>75.5</v>
      </c>
      <c r="D32">
        <v>192</v>
      </c>
    </row>
    <row r="33" spans="1:4">
      <c r="A33" s="1">
        <v>86</v>
      </c>
      <c r="B33">
        <v>88</v>
      </c>
      <c r="C33">
        <v>69</v>
      </c>
      <c r="D33">
        <v>181</v>
      </c>
    </row>
    <row r="34" spans="1:4">
      <c r="A34" s="1">
        <v>81</v>
      </c>
      <c r="B34">
        <v>83.43</v>
      </c>
      <c r="C34">
        <v>66.5</v>
      </c>
      <c r="D34">
        <v>143</v>
      </c>
    </row>
    <row r="35" spans="1:4">
      <c r="A35" s="1">
        <v>128</v>
      </c>
      <c r="B35">
        <v>94.81</v>
      </c>
      <c r="C35">
        <v>66.5</v>
      </c>
      <c r="D35">
        <v>153</v>
      </c>
    </row>
    <row r="36" spans="1:4">
      <c r="A36" s="1">
        <v>124</v>
      </c>
      <c r="B36">
        <v>94.94</v>
      </c>
      <c r="C36">
        <v>70.5</v>
      </c>
      <c r="D36">
        <v>144</v>
      </c>
    </row>
    <row r="37" spans="1:4">
      <c r="A37" s="1">
        <v>94</v>
      </c>
      <c r="B37">
        <v>89.4</v>
      </c>
      <c r="C37">
        <v>64.5</v>
      </c>
      <c r="D37">
        <v>139</v>
      </c>
    </row>
    <row r="38" spans="1:4">
      <c r="A38" s="1">
        <v>74</v>
      </c>
      <c r="B38">
        <v>93</v>
      </c>
      <c r="C38">
        <v>74</v>
      </c>
      <c r="D38">
        <v>148</v>
      </c>
    </row>
    <row r="39" spans="1:4">
      <c r="A39" s="1">
        <v>89</v>
      </c>
      <c r="B39">
        <v>93.59</v>
      </c>
      <c r="C39">
        <v>75.5</v>
      </c>
      <c r="D39">
        <v>179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E27" sqref="E27"/>
    </sheetView>
  </sheetViews>
  <sheetFormatPr defaultRowHeight="15"/>
  <cols>
    <col min="1" max="1" width="18" bestFit="1" customWidth="1"/>
    <col min="2" max="2" width="13.42578125" bestFit="1" customWidth="1"/>
    <col min="3" max="3" width="14.5703125" bestFit="1" customWidth="1"/>
    <col min="4" max="4" width="18.5703125" bestFit="1" customWidth="1"/>
  </cols>
  <sheetData>
    <row r="1" spans="1:9">
      <c r="A1" t="s">
        <v>4</v>
      </c>
    </row>
    <row r="2" spans="1:9" ht="15.75" thickBot="1"/>
    <row r="3" spans="1:9">
      <c r="A3" s="5" t="s">
        <v>5</v>
      </c>
      <c r="B3" s="5"/>
    </row>
    <row r="4" spans="1:9">
      <c r="A4" s="2" t="s">
        <v>6</v>
      </c>
      <c r="B4" s="2">
        <v>0.54308306038205623</v>
      </c>
    </row>
    <row r="5" spans="1:9">
      <c r="A5" s="15" t="s">
        <v>7</v>
      </c>
      <c r="B5" s="15">
        <v>0.29493921047394017</v>
      </c>
    </row>
    <row r="6" spans="1:9">
      <c r="A6" s="15" t="s">
        <v>8</v>
      </c>
      <c r="B6" s="15">
        <v>0.23272796433928786</v>
      </c>
    </row>
    <row r="7" spans="1:9">
      <c r="A7" s="2" t="s">
        <v>9</v>
      </c>
      <c r="B7" s="2">
        <v>19.794390319543403</v>
      </c>
    </row>
    <row r="8" spans="1:9" ht="15.75" thickBot="1">
      <c r="A8" s="3" t="s">
        <v>10</v>
      </c>
      <c r="B8" s="3">
        <v>38</v>
      </c>
    </row>
    <row r="10" spans="1:9" ht="15.75" thickBot="1">
      <c r="A10" t="s">
        <v>11</v>
      </c>
    </row>
    <row r="11" spans="1:9">
      <c r="A11" s="14"/>
      <c r="B11" s="14" t="s">
        <v>16</v>
      </c>
      <c r="C11" s="14" t="s">
        <v>17</v>
      </c>
      <c r="D11" s="4" t="s">
        <v>18</v>
      </c>
      <c r="E11" s="4" t="s">
        <v>19</v>
      </c>
      <c r="F11" s="4" t="s">
        <v>20</v>
      </c>
    </row>
    <row r="12" spans="1:9">
      <c r="A12" s="15" t="s">
        <v>12</v>
      </c>
      <c r="B12" s="15">
        <v>3</v>
      </c>
      <c r="C12" s="15">
        <v>5572.7444354162017</v>
      </c>
      <c r="D12" s="2">
        <v>1857.5814784720671</v>
      </c>
      <c r="E12" s="2">
        <v>4.7409307609039484</v>
      </c>
      <c r="F12" s="2">
        <v>7.2152698210396207E-3</v>
      </c>
    </row>
    <row r="13" spans="1:9">
      <c r="A13" s="15" t="s">
        <v>13</v>
      </c>
      <c r="B13" s="15">
        <v>34</v>
      </c>
      <c r="C13" s="15">
        <v>13321.808196162741</v>
      </c>
      <c r="D13" s="2">
        <v>391.81788812243354</v>
      </c>
      <c r="E13" s="2"/>
      <c r="F13" s="2"/>
    </row>
    <row r="14" spans="1:9" ht="15.75" thickBot="1">
      <c r="A14" s="16" t="s">
        <v>14</v>
      </c>
      <c r="B14" s="16">
        <v>37</v>
      </c>
      <c r="C14" s="16">
        <v>18894.552631578943</v>
      </c>
      <c r="D14" s="3"/>
      <c r="E14" s="3"/>
      <c r="F14" s="3"/>
    </row>
    <row r="15" spans="1:9" ht="15.75" thickBot="1"/>
    <row r="16" spans="1:9">
      <c r="A16" s="4"/>
      <c r="B16" s="14" t="s">
        <v>21</v>
      </c>
      <c r="C16" s="4" t="s">
        <v>9</v>
      </c>
      <c r="D16" s="4" t="s">
        <v>22</v>
      </c>
      <c r="E16" s="4" t="s">
        <v>23</v>
      </c>
      <c r="F16" s="4" t="s">
        <v>24</v>
      </c>
      <c r="G16" s="4" t="s">
        <v>25</v>
      </c>
      <c r="H16" s="4" t="s">
        <v>26</v>
      </c>
      <c r="I16" s="4" t="s">
        <v>27</v>
      </c>
    </row>
    <row r="17" spans="1:9">
      <c r="A17" s="2" t="s">
        <v>15</v>
      </c>
      <c r="B17" s="15">
        <v>111.35360829241687</v>
      </c>
      <c r="C17" s="2">
        <v>62.971096462934547</v>
      </c>
      <c r="D17" s="2">
        <v>1.7683288770104357</v>
      </c>
      <c r="E17" s="2">
        <v>8.5978540776571563E-2</v>
      </c>
      <c r="F17" s="2">
        <v>-16.619056740098301</v>
      </c>
      <c r="G17" s="2">
        <v>239.32627332493203</v>
      </c>
      <c r="H17" s="2">
        <v>-16.619056740098301</v>
      </c>
      <c r="I17" s="2">
        <v>239.32627332493203</v>
      </c>
    </row>
    <row r="18" spans="1:9">
      <c r="A18" s="2" t="s">
        <v>1</v>
      </c>
      <c r="B18" s="15">
        <v>2.0603667978949489</v>
      </c>
      <c r="C18" s="2">
        <v>0.56344682526351852</v>
      </c>
      <c r="D18" s="2">
        <v>3.6567191534557599</v>
      </c>
      <c r="E18" s="2">
        <v>8.5563215661449313E-4</v>
      </c>
      <c r="F18" s="2">
        <v>0.9153050809606631</v>
      </c>
      <c r="G18" s="2">
        <v>3.2054285148292347</v>
      </c>
      <c r="H18" s="2">
        <v>0.9153050809606631</v>
      </c>
      <c r="I18" s="2">
        <v>3.2054285148292347</v>
      </c>
    </row>
    <row r="19" spans="1:9">
      <c r="A19" s="2" t="s">
        <v>2</v>
      </c>
      <c r="B19" s="15">
        <v>-2.7319291624575519</v>
      </c>
      <c r="C19" s="2">
        <v>1.2294286314747143</v>
      </c>
      <c r="D19" s="2">
        <v>-2.2221128518705231</v>
      </c>
      <c r="E19" s="2">
        <v>3.3033818698289717E-2</v>
      </c>
      <c r="F19" s="2">
        <v>-5.2304287483700378</v>
      </c>
      <c r="G19" s="2">
        <v>-0.23342957654506646</v>
      </c>
      <c r="H19" s="2">
        <v>-5.2304287483700378</v>
      </c>
      <c r="I19" s="2">
        <v>-0.23342957654506646</v>
      </c>
    </row>
    <row r="20" spans="1:9" ht="15.75" thickBot="1">
      <c r="A20" s="3" t="s">
        <v>3</v>
      </c>
      <c r="B20" s="16">
        <v>5.5993712667662323E-4</v>
      </c>
      <c r="C20" s="3">
        <v>0.19706613141918183</v>
      </c>
      <c r="D20" s="3">
        <v>2.8413666145684566E-3</v>
      </c>
      <c r="E20" s="3">
        <v>0.99774952676941875</v>
      </c>
      <c r="F20" s="3">
        <v>-0.3999266264224397</v>
      </c>
      <c r="G20" s="3">
        <v>0.40104650067579295</v>
      </c>
      <c r="H20" s="3">
        <v>-0.3999266264224397</v>
      </c>
      <c r="I20" s="3">
        <v>0.40104650067579295</v>
      </c>
    </row>
    <row r="24" spans="1:9">
      <c r="A24" t="s">
        <v>28</v>
      </c>
    </row>
    <row r="25" spans="1:9" ht="15.75" thickBot="1"/>
    <row r="26" spans="1:9">
      <c r="A26" s="4" t="s">
        <v>29</v>
      </c>
      <c r="B26" s="4" t="s">
        <v>30</v>
      </c>
      <c r="C26" s="4" t="s">
        <v>31</v>
      </c>
      <c r="D26" s="4" t="s">
        <v>32</v>
      </c>
    </row>
    <row r="27" spans="1:9">
      <c r="A27" s="2">
        <v>1</v>
      </c>
      <c r="B27" s="2">
        <v>103.52161361489097</v>
      </c>
      <c r="C27" s="2">
        <v>20.478386385109033</v>
      </c>
      <c r="D27" s="2">
        <v>1.0792324790304675</v>
      </c>
    </row>
    <row r="28" spans="1:9">
      <c r="A28" s="2">
        <v>2</v>
      </c>
      <c r="B28" s="2">
        <v>125.13175998680461</v>
      </c>
      <c r="C28" s="2">
        <v>24.86824001319539</v>
      </c>
      <c r="D28" s="2">
        <v>1.3105823776272414</v>
      </c>
    </row>
    <row r="29" spans="1:9">
      <c r="A29" s="2">
        <v>3</v>
      </c>
      <c r="B29" s="2">
        <v>122.40100176990407</v>
      </c>
      <c r="C29" s="2">
        <v>5.5989982300959298</v>
      </c>
      <c r="D29" s="2">
        <v>0.29507308956469119</v>
      </c>
    </row>
    <row r="30" spans="1:9">
      <c r="A30" s="2">
        <v>4</v>
      </c>
      <c r="B30" s="2">
        <v>129.90442431000184</v>
      </c>
      <c r="C30" s="2">
        <v>4.0955756899981566</v>
      </c>
      <c r="D30" s="2">
        <v>0.21584114206321017</v>
      </c>
    </row>
    <row r="31" spans="1:9">
      <c r="A31" s="2">
        <v>5</v>
      </c>
      <c r="B31" s="2">
        <v>114.29911509182344</v>
      </c>
      <c r="C31" s="2">
        <v>-4.2991150918234382</v>
      </c>
      <c r="D31" s="2">
        <v>-0.22656788239720488</v>
      </c>
    </row>
    <row r="32" spans="1:9">
      <c r="A32" s="2">
        <v>6</v>
      </c>
      <c r="B32" s="2">
        <v>139.46560931271242</v>
      </c>
      <c r="C32" s="2">
        <v>-8.4656093127124166</v>
      </c>
      <c r="D32" s="2">
        <v>-0.44614650555209695</v>
      </c>
    </row>
    <row r="33" spans="1:4">
      <c r="A33" s="2">
        <v>7</v>
      </c>
      <c r="B33" s="2">
        <v>107.16140811155239</v>
      </c>
      <c r="C33" s="2">
        <v>-9.1614081115523902</v>
      </c>
      <c r="D33" s="2">
        <v>-0.4828158333231819</v>
      </c>
    </row>
    <row r="34" spans="1:4">
      <c r="A34" s="2">
        <v>8</v>
      </c>
      <c r="B34" s="2">
        <v>116.74432793796976</v>
      </c>
      <c r="C34" s="2">
        <v>-32.744327937969757</v>
      </c>
      <c r="D34" s="2">
        <v>-1.7256604866279137</v>
      </c>
    </row>
    <row r="35" spans="1:4">
      <c r="A35" s="2">
        <v>9</v>
      </c>
      <c r="B35" s="2">
        <v>120.36123863998804</v>
      </c>
      <c r="C35" s="2">
        <v>26.638761360011955</v>
      </c>
      <c r="D35" s="2">
        <v>1.403890712882145</v>
      </c>
    </row>
    <row r="36" spans="1:4">
      <c r="A36" s="2">
        <v>10</v>
      </c>
      <c r="B36" s="2">
        <v>107.02423717131241</v>
      </c>
      <c r="C36" s="2">
        <v>16.975762828687593</v>
      </c>
      <c r="D36" s="2">
        <v>0.89464053741850658</v>
      </c>
    </row>
    <row r="37" spans="1:4">
      <c r="A37" s="2">
        <v>11</v>
      </c>
      <c r="B37" s="2">
        <v>142.61971325927618</v>
      </c>
      <c r="C37" s="2">
        <v>-14.619713259276182</v>
      </c>
      <c r="D37" s="2">
        <v>-0.77047424962136357</v>
      </c>
    </row>
    <row r="38" spans="1:4">
      <c r="A38" s="2">
        <v>12</v>
      </c>
      <c r="B38" s="2">
        <v>113.33578213095288</v>
      </c>
      <c r="C38" s="2">
        <v>10.664217869047121</v>
      </c>
      <c r="D38" s="2">
        <v>0.562015486537635</v>
      </c>
    </row>
    <row r="39" spans="1:4">
      <c r="A39" s="2">
        <v>13</v>
      </c>
      <c r="B39" s="2">
        <v>95.309808833496731</v>
      </c>
      <c r="C39" s="2">
        <v>51.690191166503269</v>
      </c>
      <c r="D39" s="2">
        <v>2.7241273850926548</v>
      </c>
    </row>
    <row r="40" spans="1:4">
      <c r="A40" s="2">
        <v>14</v>
      </c>
      <c r="B40" s="2">
        <v>112.2136722577003</v>
      </c>
      <c r="C40" s="2">
        <v>-22.213672257700296</v>
      </c>
      <c r="D40" s="2">
        <v>-1.170683867771966</v>
      </c>
    </row>
    <row r="41" spans="1:4">
      <c r="A41" s="2">
        <v>15</v>
      </c>
      <c r="B41" s="2">
        <v>103.96215944723357</v>
      </c>
      <c r="C41" s="2">
        <v>-7.9621594472335744</v>
      </c>
      <c r="D41" s="2">
        <v>-0.41961416866917833</v>
      </c>
    </row>
    <row r="42" spans="1:4">
      <c r="A42" s="2">
        <v>16</v>
      </c>
      <c r="B42" s="2">
        <v>99.87203119577002</v>
      </c>
      <c r="C42" s="2">
        <v>20.12796880422998</v>
      </c>
      <c r="D42" s="2">
        <v>1.0607651043361919</v>
      </c>
    </row>
    <row r="43" spans="1:4">
      <c r="A43" s="2">
        <v>17</v>
      </c>
      <c r="B43" s="2">
        <v>105.38174972938685</v>
      </c>
      <c r="C43" s="2">
        <v>-3.3817497293868541</v>
      </c>
      <c r="D43" s="2">
        <v>-0.17822176392573008</v>
      </c>
    </row>
    <row r="44" spans="1:4">
      <c r="A44" s="2">
        <v>18</v>
      </c>
      <c r="B44" s="2">
        <v>96.780493540621066</v>
      </c>
      <c r="C44" s="2">
        <v>-12.780493540621066</v>
      </c>
      <c r="D44" s="2">
        <v>-0.67354543798954258</v>
      </c>
    </row>
    <row r="45" spans="1:4">
      <c r="A45" s="2">
        <v>19</v>
      </c>
      <c r="B45" s="2">
        <v>103.40656760402995</v>
      </c>
      <c r="C45" s="2">
        <v>-17.406567604029945</v>
      </c>
      <c r="D45" s="2">
        <v>-0.91734440172340959</v>
      </c>
    </row>
    <row r="46" spans="1:4">
      <c r="A46" s="2">
        <v>20</v>
      </c>
      <c r="B46" s="2">
        <v>89.113803891279403</v>
      </c>
      <c r="C46" s="2">
        <v>-5.113803891279403</v>
      </c>
      <c r="D46" s="2">
        <v>-0.26950283811786457</v>
      </c>
    </row>
    <row r="47" spans="1:4">
      <c r="A47" s="2">
        <v>21</v>
      </c>
      <c r="B47" s="2">
        <v>104.93491159107786</v>
      </c>
      <c r="C47" s="2">
        <v>29.065088408922136</v>
      </c>
      <c r="D47" s="2">
        <v>1.5317606976890592</v>
      </c>
    </row>
    <row r="48" spans="1:4">
      <c r="A48" s="2">
        <v>22</v>
      </c>
      <c r="B48" s="2">
        <v>122.42136614499228</v>
      </c>
      <c r="C48" s="2">
        <v>5.5786338550077232</v>
      </c>
      <c r="D48" s="2">
        <v>0.29399986560079855</v>
      </c>
    </row>
    <row r="49" spans="1:4">
      <c r="A49" s="2">
        <v>23</v>
      </c>
      <c r="B49" s="2">
        <v>110.68721413893411</v>
      </c>
      <c r="C49" s="2">
        <v>-8.6872141389341095</v>
      </c>
      <c r="D49" s="2">
        <v>-0.45782531273303101</v>
      </c>
    </row>
    <row r="50" spans="1:4">
      <c r="A50" s="2">
        <v>24</v>
      </c>
      <c r="B50" s="2">
        <v>107.49777178720733</v>
      </c>
      <c r="C50" s="2">
        <v>23.502228212792673</v>
      </c>
      <c r="D50" s="2">
        <v>1.2385921204844472</v>
      </c>
    </row>
    <row r="51" spans="1:4">
      <c r="A51" s="2">
        <v>25</v>
      </c>
      <c r="B51" s="2">
        <v>90.201708922928674</v>
      </c>
      <c r="C51" s="2">
        <v>-6.2017089229286739</v>
      </c>
      <c r="D51" s="2">
        <v>-0.32683657634200103</v>
      </c>
    </row>
    <row r="52" spans="1:4">
      <c r="A52" s="2">
        <v>26</v>
      </c>
      <c r="B52" s="2">
        <v>120.01374330221222</v>
      </c>
      <c r="C52" s="2">
        <v>-10.01374330221222</v>
      </c>
      <c r="D52" s="2">
        <v>-0.52773479341515472</v>
      </c>
    </row>
    <row r="53" spans="1:4">
      <c r="A53" s="2">
        <v>27</v>
      </c>
      <c r="B53" s="2">
        <v>102.791529805983</v>
      </c>
      <c r="C53" s="2">
        <v>-30.791529805983004</v>
      </c>
      <c r="D53" s="2">
        <v>-1.6227459732772609</v>
      </c>
    </row>
    <row r="54" spans="1:4">
      <c r="A54" s="2">
        <v>28</v>
      </c>
      <c r="B54" s="2">
        <v>108.34133936568647</v>
      </c>
      <c r="C54" s="2">
        <v>15.658660634313534</v>
      </c>
      <c r="D54" s="2">
        <v>0.82522786790249403</v>
      </c>
    </row>
    <row r="55" spans="1:4">
      <c r="A55" s="2">
        <v>29</v>
      </c>
      <c r="B55" s="2">
        <v>117.41741157733652</v>
      </c>
      <c r="C55" s="2">
        <v>14.582588422663477</v>
      </c>
      <c r="D55" s="2">
        <v>0.76851773172499915</v>
      </c>
    </row>
    <row r="56" spans="1:4">
      <c r="A56" s="2">
        <v>30</v>
      </c>
      <c r="B56" s="2">
        <v>124.07373352706044</v>
      </c>
      <c r="C56" s="2">
        <v>12.92626647293956</v>
      </c>
      <c r="D56" s="2">
        <v>0.68122782468559728</v>
      </c>
    </row>
    <row r="57" spans="1:4">
      <c r="A57" s="2">
        <v>31</v>
      </c>
      <c r="B57" s="2">
        <v>110.80446721713058</v>
      </c>
      <c r="C57" s="2">
        <v>-0.80446721713057912</v>
      </c>
      <c r="D57" s="2">
        <v>-4.2396267592347887E-2</v>
      </c>
    </row>
    <row r="58" spans="1:4">
      <c r="A58" s="2">
        <v>32</v>
      </c>
      <c r="B58" s="2">
        <v>104.26412291752979</v>
      </c>
      <c r="C58" s="2">
        <v>-18.264122917529789</v>
      </c>
      <c r="D58" s="2">
        <v>-0.96253846777380747</v>
      </c>
    </row>
    <row r="59" spans="1:4">
      <c r="A59" s="2">
        <v>33</v>
      </c>
      <c r="B59" s="2">
        <v>101.65679194648001</v>
      </c>
      <c r="C59" s="2">
        <v>-20.656791946480013</v>
      </c>
      <c r="D59" s="2">
        <v>-1.0886346395645237</v>
      </c>
    </row>
    <row r="60" spans="1:4">
      <c r="A60" s="2">
        <v>34</v>
      </c>
      <c r="B60" s="2">
        <v>125.10936547779131</v>
      </c>
      <c r="C60" s="2">
        <v>2.8906345222086856</v>
      </c>
      <c r="D60" s="2">
        <v>0.15233947649521901</v>
      </c>
    </row>
    <row r="61" spans="1:4">
      <c r="A61" s="2">
        <v>35</v>
      </c>
      <c r="B61" s="2">
        <v>114.4444570775473</v>
      </c>
      <c r="C61" s="2">
        <v>9.5555429224527018</v>
      </c>
      <c r="D61" s="2">
        <v>0.50358715197304649</v>
      </c>
    </row>
    <row r="62" spans="1:4">
      <c r="A62" s="2">
        <v>36</v>
      </c>
      <c r="B62" s="2">
        <v>119.41880030632127</v>
      </c>
      <c r="C62" s="2">
        <v>-25.418800306321273</v>
      </c>
      <c r="D62" s="2">
        <v>-1.3395974835458431</v>
      </c>
    </row>
    <row r="63" spans="1:4">
      <c r="A63" s="2">
        <v>37</v>
      </c>
      <c r="B63" s="2">
        <v>100.88783316953642</v>
      </c>
      <c r="C63" s="2">
        <v>-26.887833169536421</v>
      </c>
      <c r="D63" s="2">
        <v>-1.417017058942553</v>
      </c>
    </row>
    <row r="64" spans="1:4" ht="15.75" thickBot="1">
      <c r="A64" s="3">
        <v>38</v>
      </c>
      <c r="B64" s="3">
        <v>98.022913887535083</v>
      </c>
      <c r="C64" s="3">
        <v>-9.0229138875350827</v>
      </c>
      <c r="D64" s="3">
        <v>-0.47551704220230112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workbookViewId="0">
      <selection activeCell="O2" sqref="O2"/>
    </sheetView>
  </sheetViews>
  <sheetFormatPr defaultRowHeight="15"/>
  <cols>
    <col min="7" max="7" width="12" bestFit="1" customWidth="1"/>
    <col min="8" max="8" width="12" customWidth="1"/>
  </cols>
  <sheetData>
    <row r="1" spans="1:13">
      <c r="E1" t="s">
        <v>40</v>
      </c>
      <c r="F1" t="s">
        <v>41</v>
      </c>
      <c r="G1" t="s">
        <v>42</v>
      </c>
    </row>
    <row r="2" spans="1:13">
      <c r="A2" s="1" t="s">
        <v>0</v>
      </c>
      <c r="B2" t="s">
        <v>1</v>
      </c>
      <c r="C2" t="s">
        <v>2</v>
      </c>
      <c r="D2" t="s">
        <v>3</v>
      </c>
      <c r="E2" t="s">
        <v>33</v>
      </c>
      <c r="F2" s="6" t="s">
        <v>31</v>
      </c>
      <c r="G2" t="s">
        <v>34</v>
      </c>
      <c r="H2" s="7" t="s">
        <v>43</v>
      </c>
      <c r="J2" s="11" t="s">
        <v>21</v>
      </c>
    </row>
    <row r="3" spans="1:13">
      <c r="A3" s="1">
        <v>124</v>
      </c>
      <c r="B3">
        <v>81.69</v>
      </c>
      <c r="C3">
        <v>64.5</v>
      </c>
      <c r="D3">
        <v>118</v>
      </c>
      <c r="E3">
        <f>$J$4+B3*$K$4+C3*$L$4+D3*$M$4</f>
        <v>103.52159074877696</v>
      </c>
      <c r="F3">
        <f>A3-E3</f>
        <v>20.478409251223042</v>
      </c>
      <c r="G3">
        <f>F3^2</f>
        <v>419.36524546057746</v>
      </c>
      <c r="H3">
        <f>(A3-$J$13)^2</f>
        <v>160.22229916897518</v>
      </c>
      <c r="J3" s="8" t="s">
        <v>15</v>
      </c>
      <c r="K3" s="8" t="s">
        <v>1</v>
      </c>
      <c r="L3" s="8" t="s">
        <v>2</v>
      </c>
      <c r="M3" s="8" t="s">
        <v>3</v>
      </c>
    </row>
    <row r="4" spans="1:13">
      <c r="A4" s="1">
        <v>150</v>
      </c>
      <c r="B4">
        <v>103.84</v>
      </c>
      <c r="C4">
        <v>73.3</v>
      </c>
      <c r="D4">
        <v>143</v>
      </c>
      <c r="E4">
        <f t="shared" ref="E4:E40" si="0">$J$4+B4*$K$4+C4*$L$4+D4*$M$4</f>
        <v>125.13123516595634</v>
      </c>
      <c r="F4">
        <f t="shared" ref="F4:F40" si="1">A4-E4</f>
        <v>24.86876483404366</v>
      </c>
      <c r="G4">
        <f t="shared" ref="G4:G40" si="2">F4^2</f>
        <v>618.45546437096652</v>
      </c>
      <c r="H4">
        <f t="shared" ref="H4:H40" si="3">(A4-$J$13)^2</f>
        <v>1494.4328254847649</v>
      </c>
      <c r="J4" s="8">
        <v>111.35521779820101</v>
      </c>
      <c r="K4" s="8">
        <v>2.0603178036175005</v>
      </c>
      <c r="L4" s="8">
        <v>-2.731945843207721</v>
      </c>
      <c r="M4" s="8">
        <v>5.891394911890466E-4</v>
      </c>
    </row>
    <row r="5" spans="1:13">
      <c r="A5" s="1">
        <v>128</v>
      </c>
      <c r="B5">
        <v>96.54</v>
      </c>
      <c r="C5">
        <v>68.8</v>
      </c>
      <c r="D5">
        <v>172</v>
      </c>
      <c r="E5">
        <f t="shared" si="0"/>
        <v>122.40175653922785</v>
      </c>
      <c r="F5">
        <f t="shared" si="1"/>
        <v>5.598243460772153</v>
      </c>
      <c r="G5">
        <f t="shared" si="2"/>
        <v>31.340329846078173</v>
      </c>
      <c r="H5">
        <f t="shared" si="3"/>
        <v>277.48545706371203</v>
      </c>
    </row>
    <row r="6" spans="1:13">
      <c r="A6" s="1">
        <v>134</v>
      </c>
      <c r="B6">
        <v>95.15</v>
      </c>
      <c r="C6">
        <v>65</v>
      </c>
      <c r="D6">
        <v>147</v>
      </c>
      <c r="E6">
        <f t="shared" si="0"/>
        <v>129.90458050910911</v>
      </c>
      <c r="F6">
        <f t="shared" si="1"/>
        <v>4.0954194908908903</v>
      </c>
      <c r="G6">
        <f t="shared" si="2"/>
        <v>16.772460806369001</v>
      </c>
      <c r="H6">
        <f t="shared" si="3"/>
        <v>513.38019390581735</v>
      </c>
    </row>
    <row r="7" spans="1:13">
      <c r="A7" s="1">
        <v>110</v>
      </c>
      <c r="B7">
        <v>92.88</v>
      </c>
      <c r="C7">
        <v>69</v>
      </c>
      <c r="D7">
        <v>146</v>
      </c>
      <c r="E7">
        <f t="shared" si="0"/>
        <v>114.29928658257529</v>
      </c>
      <c r="F7">
        <f t="shared" si="1"/>
        <v>-4.2992865825752915</v>
      </c>
      <c r="G7">
        <f t="shared" si="2"/>
        <v>18.483865119111929</v>
      </c>
      <c r="H7">
        <f t="shared" si="3"/>
        <v>1.8012465373961097</v>
      </c>
      <c r="J7" s="11" t="s">
        <v>38</v>
      </c>
    </row>
    <row r="8" spans="1:13">
      <c r="A8" s="1">
        <v>131</v>
      </c>
      <c r="B8">
        <v>99.13</v>
      </c>
      <c r="C8">
        <v>64.5</v>
      </c>
      <c r="D8">
        <v>138</v>
      </c>
      <c r="E8">
        <f t="shared" si="0"/>
        <v>139.4653160336899</v>
      </c>
      <c r="F8">
        <f t="shared" si="1"/>
        <v>-8.465316033689902</v>
      </c>
      <c r="G8">
        <f t="shared" si="2"/>
        <v>71.661575550247335</v>
      </c>
      <c r="H8">
        <f t="shared" si="3"/>
        <v>386.43282548476469</v>
      </c>
      <c r="J8" s="8" t="s">
        <v>37</v>
      </c>
      <c r="K8" s="8" t="s">
        <v>35</v>
      </c>
      <c r="L8" s="8" t="s">
        <v>36</v>
      </c>
    </row>
    <row r="9" spans="1:13">
      <c r="A9" s="1">
        <v>98</v>
      </c>
      <c r="B9">
        <v>85.43</v>
      </c>
      <c r="C9">
        <v>66</v>
      </c>
      <c r="D9">
        <v>175</v>
      </c>
      <c r="E9">
        <f t="shared" si="0"/>
        <v>107.16284152049256</v>
      </c>
      <c r="F9">
        <f t="shared" si="1"/>
        <v>-9.1628415204925631</v>
      </c>
      <c r="G9">
        <f t="shared" si="2"/>
        <v>83.957664729662469</v>
      </c>
      <c r="H9">
        <f t="shared" si="3"/>
        <v>178.01177285318548</v>
      </c>
      <c r="J9" s="9">
        <f>SUM(G3:G40)</f>
        <v>13321.808215047547</v>
      </c>
      <c r="K9" s="10">
        <f>SUM(H3:H40)</f>
        <v>18894.552631578943</v>
      </c>
      <c r="L9" s="8">
        <f>K9-J9</f>
        <v>5572.7444165313955</v>
      </c>
    </row>
    <row r="10" spans="1:13">
      <c r="A10" s="1">
        <v>84</v>
      </c>
      <c r="B10">
        <v>90.49</v>
      </c>
      <c r="C10">
        <v>66.3</v>
      </c>
      <c r="D10">
        <v>134</v>
      </c>
      <c r="E10">
        <f t="shared" si="0"/>
        <v>116.74431113469608</v>
      </c>
      <c r="F10">
        <f t="shared" si="1"/>
        <v>-32.744311134696076</v>
      </c>
      <c r="G10">
        <f t="shared" si="2"/>
        <v>1072.1899116857815</v>
      </c>
      <c r="H10">
        <f t="shared" si="3"/>
        <v>747.59072022160638</v>
      </c>
    </row>
    <row r="11" spans="1:13">
      <c r="A11" s="1">
        <v>147</v>
      </c>
      <c r="B11">
        <v>95.55</v>
      </c>
      <c r="C11">
        <v>68.8</v>
      </c>
      <c r="D11">
        <v>172</v>
      </c>
      <c r="E11">
        <f t="shared" si="0"/>
        <v>120.36204191364652</v>
      </c>
      <c r="F11">
        <f t="shared" si="1"/>
        <v>26.637958086353478</v>
      </c>
      <c r="G11">
        <f t="shared" si="2"/>
        <v>709.58081101032462</v>
      </c>
      <c r="H11">
        <f t="shared" si="3"/>
        <v>1271.4854570637121</v>
      </c>
    </row>
    <row r="12" spans="1:13">
      <c r="A12" s="1">
        <v>124</v>
      </c>
      <c r="B12">
        <v>83.39</v>
      </c>
      <c r="C12">
        <v>64.5</v>
      </c>
      <c r="D12">
        <v>118</v>
      </c>
      <c r="E12">
        <f t="shared" si="0"/>
        <v>107.02413101492667</v>
      </c>
      <c r="F12">
        <f t="shared" si="1"/>
        <v>16.975868985073333</v>
      </c>
      <c r="G12">
        <f t="shared" si="2"/>
        <v>288.18012779837471</v>
      </c>
      <c r="H12">
        <f t="shared" si="3"/>
        <v>160.22229916897518</v>
      </c>
      <c r="J12" s="12" t="s">
        <v>39</v>
      </c>
    </row>
    <row r="13" spans="1:13">
      <c r="A13" s="1">
        <v>128</v>
      </c>
      <c r="B13">
        <v>107.95</v>
      </c>
      <c r="C13">
        <v>70</v>
      </c>
      <c r="D13">
        <v>151</v>
      </c>
      <c r="E13">
        <f t="shared" si="0"/>
        <v>142.61927573733928</v>
      </c>
      <c r="F13">
        <f t="shared" si="1"/>
        <v>-14.619275737339279</v>
      </c>
      <c r="G13">
        <f t="shared" si="2"/>
        <v>213.72322308435693</v>
      </c>
      <c r="H13">
        <f t="shared" si="3"/>
        <v>277.48545706371203</v>
      </c>
      <c r="J13" s="8">
        <f>AVERAGE(A3:A40)</f>
        <v>111.34210526315789</v>
      </c>
    </row>
    <row r="14" spans="1:13">
      <c r="A14" s="1">
        <v>124</v>
      </c>
      <c r="B14">
        <v>92.41</v>
      </c>
      <c r="C14">
        <v>69</v>
      </c>
      <c r="D14">
        <v>155</v>
      </c>
      <c r="E14">
        <f t="shared" si="0"/>
        <v>113.33623947029577</v>
      </c>
      <c r="F14">
        <f t="shared" si="1"/>
        <v>10.663760529704234</v>
      </c>
      <c r="G14">
        <f t="shared" si="2"/>
        <v>113.71578863487792</v>
      </c>
      <c r="H14">
        <f t="shared" si="3"/>
        <v>160.22229916897518</v>
      </c>
    </row>
    <row r="15" spans="1:13">
      <c r="A15" s="1">
        <v>147</v>
      </c>
      <c r="B15">
        <v>85.65</v>
      </c>
      <c r="C15">
        <v>70.5</v>
      </c>
      <c r="D15">
        <v>155</v>
      </c>
      <c r="E15">
        <f t="shared" si="0"/>
        <v>95.310572353029926</v>
      </c>
      <c r="F15">
        <f t="shared" si="1"/>
        <v>51.689427646970074</v>
      </c>
      <c r="G15">
        <f t="shared" si="2"/>
        <v>2671.7969304713542</v>
      </c>
      <c r="H15">
        <f t="shared" si="3"/>
        <v>1271.4854570637121</v>
      </c>
    </row>
    <row r="16" spans="1:13">
      <c r="A16" s="1">
        <v>90</v>
      </c>
      <c r="B16">
        <v>87.89</v>
      </c>
      <c r="C16">
        <v>66</v>
      </c>
      <c r="D16">
        <v>146</v>
      </c>
      <c r="E16">
        <f t="shared" si="0"/>
        <v>112.21413827214715</v>
      </c>
      <c r="F16">
        <f t="shared" si="1"/>
        <v>-22.214138272147153</v>
      </c>
      <c r="G16">
        <f t="shared" si="2"/>
        <v>493.46793917407291</v>
      </c>
      <c r="H16">
        <f t="shared" si="3"/>
        <v>455.48545706371169</v>
      </c>
      <c r="J16" s="8" t="s">
        <v>46</v>
      </c>
      <c r="K16" s="8">
        <f>COUNT(A3:A40)</f>
        <v>38</v>
      </c>
    </row>
    <row r="17" spans="1:11">
      <c r="A17" s="1">
        <v>96</v>
      </c>
      <c r="B17">
        <v>86.54</v>
      </c>
      <c r="C17">
        <v>68</v>
      </c>
      <c r="D17">
        <v>135</v>
      </c>
      <c r="E17">
        <f t="shared" si="0"/>
        <v>103.96233701644499</v>
      </c>
      <c r="F17">
        <f t="shared" si="1"/>
        <v>-7.9623370164449909</v>
      </c>
      <c r="G17">
        <f t="shared" si="2"/>
        <v>63.398810763450122</v>
      </c>
      <c r="H17">
        <f t="shared" si="3"/>
        <v>235.38019390581704</v>
      </c>
      <c r="J17" s="8" t="s">
        <v>47</v>
      </c>
      <c r="K17" s="8">
        <f>COUNT(K4:M4)</f>
        <v>3</v>
      </c>
    </row>
    <row r="18" spans="1:11">
      <c r="A18" s="1">
        <v>120</v>
      </c>
      <c r="B18">
        <v>85.22</v>
      </c>
      <c r="C18">
        <v>68.5</v>
      </c>
      <c r="D18">
        <v>127</v>
      </c>
      <c r="E18">
        <f t="shared" si="0"/>
        <v>99.872031478136506</v>
      </c>
      <c r="F18">
        <f t="shared" si="1"/>
        <v>20.127968521863494</v>
      </c>
      <c r="G18">
        <f t="shared" si="2"/>
        <v>405.13511681712765</v>
      </c>
      <c r="H18">
        <f t="shared" si="3"/>
        <v>74.959141274238306</v>
      </c>
      <c r="J18" s="8" t="s">
        <v>44</v>
      </c>
      <c r="K18" s="8">
        <f>1-J9/K9</f>
        <v>0.29493920947445595</v>
      </c>
    </row>
    <row r="19" spans="1:11">
      <c r="A19" s="1">
        <v>102</v>
      </c>
      <c r="B19">
        <v>94.51</v>
      </c>
      <c r="C19">
        <v>73.5</v>
      </c>
      <c r="D19">
        <v>178</v>
      </c>
      <c r="E19">
        <f t="shared" si="0"/>
        <v>105.38270077175518</v>
      </c>
      <c r="F19">
        <f t="shared" si="1"/>
        <v>-3.3827007717551822</v>
      </c>
      <c r="G19">
        <f t="shared" si="2"/>
        <v>11.442664511233106</v>
      </c>
      <c r="H19">
        <f t="shared" si="3"/>
        <v>87.274930747922355</v>
      </c>
      <c r="J19" s="8" t="s">
        <v>45</v>
      </c>
      <c r="K19" s="8">
        <f>1-(J9/(K16-K17-1))/(K9/(K16-1))</f>
        <v>0.23272796325161382</v>
      </c>
    </row>
    <row r="20" spans="1:11">
      <c r="A20" s="1">
        <v>84</v>
      </c>
      <c r="B20">
        <v>80.8</v>
      </c>
      <c r="C20">
        <v>66.3</v>
      </c>
      <c r="D20">
        <v>136</v>
      </c>
      <c r="E20">
        <f t="shared" si="0"/>
        <v>96.781009896624823</v>
      </c>
      <c r="F20">
        <f t="shared" si="1"/>
        <v>-12.781009896624823</v>
      </c>
      <c r="G20">
        <f t="shared" si="2"/>
        <v>163.35421397762167</v>
      </c>
      <c r="H20">
        <f t="shared" si="3"/>
        <v>747.59072022160638</v>
      </c>
    </row>
    <row r="21" spans="1:11">
      <c r="A21" s="1">
        <v>86</v>
      </c>
      <c r="B21">
        <v>88.91</v>
      </c>
      <c r="C21">
        <v>70</v>
      </c>
      <c r="D21">
        <v>180</v>
      </c>
      <c r="E21">
        <f t="shared" si="0"/>
        <v>103.40790980170651</v>
      </c>
      <c r="F21">
        <f t="shared" si="1"/>
        <v>-17.407909801706509</v>
      </c>
      <c r="G21">
        <f t="shared" si="2"/>
        <v>303.03532366434956</v>
      </c>
      <c r="H21">
        <f t="shared" si="3"/>
        <v>642.22229916897481</v>
      </c>
    </row>
    <row r="22" spans="1:11">
      <c r="A22" s="1">
        <v>84</v>
      </c>
      <c r="B22">
        <v>90.59</v>
      </c>
      <c r="C22">
        <v>76.5</v>
      </c>
      <c r="D22">
        <v>186</v>
      </c>
      <c r="E22">
        <f t="shared" si="0"/>
        <v>89.115130567880897</v>
      </c>
      <c r="F22">
        <f t="shared" si="1"/>
        <v>-5.1151305678808967</v>
      </c>
      <c r="G22">
        <f t="shared" si="2"/>
        <v>26.164560726469546</v>
      </c>
      <c r="H22">
        <f t="shared" si="3"/>
        <v>747.59072022160638</v>
      </c>
    </row>
    <row r="23" spans="1:11">
      <c r="A23" s="1">
        <v>134</v>
      </c>
      <c r="B23">
        <v>79.06</v>
      </c>
      <c r="C23">
        <v>62</v>
      </c>
      <c r="D23">
        <v>122</v>
      </c>
      <c r="E23">
        <f t="shared" si="0"/>
        <v>104.935176091247</v>
      </c>
      <c r="F23">
        <f t="shared" si="1"/>
        <v>29.064823908752999</v>
      </c>
      <c r="G23">
        <f t="shared" si="2"/>
        <v>844.76398884681998</v>
      </c>
      <c r="H23">
        <f t="shared" si="3"/>
        <v>513.38019390581735</v>
      </c>
    </row>
    <row r="24" spans="1:11">
      <c r="A24" s="1">
        <v>128</v>
      </c>
      <c r="B24">
        <v>95.5</v>
      </c>
      <c r="C24">
        <v>68</v>
      </c>
      <c r="D24">
        <v>132</v>
      </c>
      <c r="E24">
        <f t="shared" si="0"/>
        <v>122.42101711838421</v>
      </c>
      <c r="F24">
        <f t="shared" si="1"/>
        <v>5.5789828816157865</v>
      </c>
      <c r="G24">
        <f t="shared" si="2"/>
        <v>31.125049993361984</v>
      </c>
      <c r="H24">
        <f t="shared" si="3"/>
        <v>277.48545706371203</v>
      </c>
    </row>
    <row r="25" spans="1:11">
      <c r="A25" s="1">
        <v>102</v>
      </c>
      <c r="B25">
        <v>83.18</v>
      </c>
      <c r="C25">
        <v>63</v>
      </c>
      <c r="D25">
        <v>114</v>
      </c>
      <c r="E25">
        <f t="shared" si="0"/>
        <v>110.68702648301385</v>
      </c>
      <c r="F25">
        <f t="shared" si="1"/>
        <v>-8.6870264830138524</v>
      </c>
      <c r="G25">
        <f t="shared" si="2"/>
        <v>75.464429116584014</v>
      </c>
      <c r="H25">
        <f t="shared" si="3"/>
        <v>87.274930747922355</v>
      </c>
    </row>
    <row r="26" spans="1:11">
      <c r="A26" s="1">
        <v>131</v>
      </c>
      <c r="B26">
        <v>93.55</v>
      </c>
      <c r="C26">
        <v>72</v>
      </c>
      <c r="D26">
        <v>171</v>
      </c>
      <c r="E26">
        <f t="shared" si="0"/>
        <v>107.49859046865556</v>
      </c>
      <c r="F26">
        <f t="shared" si="1"/>
        <v>23.501409531344436</v>
      </c>
      <c r="G26">
        <f t="shared" si="2"/>
        <v>552.31624995996708</v>
      </c>
      <c r="H26">
        <f t="shared" si="3"/>
        <v>386.43282548476469</v>
      </c>
    </row>
    <row r="27" spans="1:11">
      <c r="A27" s="1">
        <v>84</v>
      </c>
      <c r="B27">
        <v>79.86</v>
      </c>
      <c r="C27">
        <v>68</v>
      </c>
      <c r="D27">
        <v>140</v>
      </c>
      <c r="E27">
        <f t="shared" si="0"/>
        <v>90.202359785736007</v>
      </c>
      <c r="F27">
        <f t="shared" si="1"/>
        <v>-6.2023597857360073</v>
      </c>
      <c r="G27">
        <f t="shared" si="2"/>
        <v>38.469266911715209</v>
      </c>
      <c r="H27">
        <f t="shared" si="3"/>
        <v>747.59072022160638</v>
      </c>
    </row>
    <row r="28" spans="1:11">
      <c r="A28" s="1">
        <v>110</v>
      </c>
      <c r="B28">
        <v>106.25</v>
      </c>
      <c r="C28">
        <v>77</v>
      </c>
      <c r="D28">
        <v>187</v>
      </c>
      <c r="E28">
        <f t="shared" si="0"/>
        <v>120.01432359041829</v>
      </c>
      <c r="F28">
        <f t="shared" si="1"/>
        <v>-10.014323590418286</v>
      </c>
      <c r="G28">
        <f t="shared" si="2"/>
        <v>100.28667697360819</v>
      </c>
      <c r="H28">
        <f t="shared" si="3"/>
        <v>1.8012465373961097</v>
      </c>
    </row>
    <row r="29" spans="1:11">
      <c r="A29" s="1">
        <v>72</v>
      </c>
      <c r="B29">
        <v>79.349999999999994</v>
      </c>
      <c r="C29">
        <v>63</v>
      </c>
      <c r="D29">
        <v>106</v>
      </c>
      <c r="E29">
        <f t="shared" si="0"/>
        <v>102.79129617922926</v>
      </c>
      <c r="F29">
        <f t="shared" si="1"/>
        <v>-30.791296179229263</v>
      </c>
      <c r="G29">
        <f t="shared" si="2"/>
        <v>948.10392039701867</v>
      </c>
      <c r="H29">
        <f t="shared" si="3"/>
        <v>1547.8012465373959</v>
      </c>
    </row>
    <row r="30" spans="1:11">
      <c r="A30" s="1">
        <v>124</v>
      </c>
      <c r="B30">
        <v>86.67</v>
      </c>
      <c r="C30">
        <v>66.5</v>
      </c>
      <c r="D30">
        <v>159</v>
      </c>
      <c r="E30">
        <f t="shared" si="0"/>
        <v>108.34223644351536</v>
      </c>
      <c r="F30">
        <f t="shared" si="1"/>
        <v>15.657763556484639</v>
      </c>
      <c r="G30">
        <f t="shared" si="2"/>
        <v>245.16555959077849</v>
      </c>
      <c r="H30">
        <f t="shared" si="3"/>
        <v>160.22229916897518</v>
      </c>
    </row>
    <row r="31" spans="1:11">
      <c r="A31" s="1">
        <v>132</v>
      </c>
      <c r="B31">
        <v>85.78</v>
      </c>
      <c r="C31">
        <v>62.5</v>
      </c>
      <c r="D31">
        <v>127</v>
      </c>
      <c r="E31">
        <f t="shared" si="0"/>
        <v>117.41748450740869</v>
      </c>
      <c r="F31">
        <f t="shared" si="1"/>
        <v>14.582515492591313</v>
      </c>
      <c r="G31">
        <f t="shared" si="2"/>
        <v>212.64975809166566</v>
      </c>
      <c r="H31">
        <f t="shared" si="3"/>
        <v>426.74861495844891</v>
      </c>
    </row>
    <row r="32" spans="1:11">
      <c r="A32" s="1">
        <v>137</v>
      </c>
      <c r="B32">
        <v>94.96</v>
      </c>
      <c r="C32">
        <v>67</v>
      </c>
      <c r="D32">
        <v>191</v>
      </c>
      <c r="E32">
        <f t="shared" si="0"/>
        <v>124.07515057761864</v>
      </c>
      <c r="F32">
        <f t="shared" si="1"/>
        <v>12.924849422381357</v>
      </c>
      <c r="G32">
        <f t="shared" si="2"/>
        <v>167.05173259123168</v>
      </c>
      <c r="H32">
        <f t="shared" si="3"/>
        <v>658.32756232687007</v>
      </c>
    </row>
    <row r="33" spans="1:8">
      <c r="A33" s="1">
        <v>110</v>
      </c>
      <c r="B33">
        <v>99.79</v>
      </c>
      <c r="C33">
        <v>75.5</v>
      </c>
      <c r="D33">
        <v>192</v>
      </c>
      <c r="E33">
        <f t="shared" si="0"/>
        <v>110.80553504131676</v>
      </c>
      <c r="F33">
        <f t="shared" si="1"/>
        <v>-0.80553504131675879</v>
      </c>
      <c r="G33">
        <f t="shared" si="2"/>
        <v>0.64888670278919225</v>
      </c>
      <c r="H33">
        <f t="shared" si="3"/>
        <v>1.8012465373961097</v>
      </c>
    </row>
    <row r="34" spans="1:8">
      <c r="A34" s="1">
        <v>86</v>
      </c>
      <c r="B34">
        <v>88</v>
      </c>
      <c r="C34">
        <v>69</v>
      </c>
      <c r="D34">
        <v>181</v>
      </c>
      <c r="E34">
        <f t="shared" si="0"/>
        <v>104.2655555831135</v>
      </c>
      <c r="F34">
        <f t="shared" si="1"/>
        <v>-18.265555583113496</v>
      </c>
      <c r="G34">
        <f t="shared" si="2"/>
        <v>333.63052075980863</v>
      </c>
      <c r="H34">
        <f t="shared" si="3"/>
        <v>642.22229916897481</v>
      </c>
    </row>
    <row r="35" spans="1:8">
      <c r="A35" s="1">
        <v>81</v>
      </c>
      <c r="B35">
        <v>83.43</v>
      </c>
      <c r="C35">
        <v>66.5</v>
      </c>
      <c r="D35">
        <v>143</v>
      </c>
      <c r="E35">
        <f t="shared" si="0"/>
        <v>101.65738052793567</v>
      </c>
      <c r="F35">
        <f t="shared" si="1"/>
        <v>-20.657380527935672</v>
      </c>
      <c r="G35">
        <f t="shared" si="2"/>
        <v>426.72737027593587</v>
      </c>
      <c r="H35">
        <f t="shared" si="3"/>
        <v>920.64335180055377</v>
      </c>
    </row>
    <row r="36" spans="1:8">
      <c r="A36" s="1">
        <v>128</v>
      </c>
      <c r="B36">
        <v>94.81</v>
      </c>
      <c r="C36">
        <v>66.5</v>
      </c>
      <c r="D36">
        <v>153</v>
      </c>
      <c r="E36">
        <f t="shared" si="0"/>
        <v>125.1096885280147</v>
      </c>
      <c r="F36">
        <f t="shared" si="1"/>
        <v>2.8903114719852994</v>
      </c>
      <c r="G36">
        <f t="shared" si="2"/>
        <v>8.3539004050898278</v>
      </c>
      <c r="H36">
        <f t="shared" si="3"/>
        <v>277.48545706371203</v>
      </c>
    </row>
    <row r="37" spans="1:8">
      <c r="A37" s="1">
        <v>124</v>
      </c>
      <c r="B37">
        <v>94.94</v>
      </c>
      <c r="C37">
        <v>70.5</v>
      </c>
      <c r="D37">
        <v>144</v>
      </c>
      <c r="E37">
        <f t="shared" si="0"/>
        <v>114.44444421423341</v>
      </c>
      <c r="F37">
        <f t="shared" si="1"/>
        <v>9.555555785766586</v>
      </c>
      <c r="G37">
        <f t="shared" si="2"/>
        <v>91.308646374897279</v>
      </c>
      <c r="H37">
        <f t="shared" si="3"/>
        <v>160.22229916897518</v>
      </c>
    </row>
    <row r="38" spans="1:8">
      <c r="A38" s="1">
        <v>94</v>
      </c>
      <c r="B38">
        <v>89.4</v>
      </c>
      <c r="C38">
        <v>64.5</v>
      </c>
      <c r="D38">
        <v>139</v>
      </c>
      <c r="E38">
        <f t="shared" si="0"/>
        <v>119.41901294398285</v>
      </c>
      <c r="F38">
        <f t="shared" si="1"/>
        <v>-25.41901294398285</v>
      </c>
      <c r="G38">
        <f t="shared" si="2"/>
        <v>646.12621904636762</v>
      </c>
      <c r="H38">
        <f t="shared" si="3"/>
        <v>300.74861495844857</v>
      </c>
    </row>
    <row r="39" spans="1:8">
      <c r="A39" s="1">
        <v>74</v>
      </c>
      <c r="B39">
        <v>93</v>
      </c>
      <c r="C39">
        <v>74</v>
      </c>
      <c r="D39">
        <v>148</v>
      </c>
      <c r="E39">
        <f t="shared" si="0"/>
        <v>100.88797378195316</v>
      </c>
      <c r="F39">
        <f t="shared" si="1"/>
        <v>-26.887973781953164</v>
      </c>
      <c r="G39">
        <f t="shared" si="2"/>
        <v>722.96313409900074</v>
      </c>
      <c r="H39">
        <f t="shared" si="3"/>
        <v>1394.4328254847642</v>
      </c>
    </row>
    <row r="40" spans="1:8">
      <c r="A40" s="1">
        <v>89</v>
      </c>
      <c r="B40">
        <v>93.59</v>
      </c>
      <c r="C40">
        <v>75.5</v>
      </c>
      <c r="D40">
        <v>179</v>
      </c>
      <c r="E40">
        <f t="shared" si="0"/>
        <v>98.023905845502796</v>
      </c>
      <c r="F40">
        <f t="shared" si="1"/>
        <v>-9.0239058455027958</v>
      </c>
      <c r="G40">
        <f t="shared" si="2"/>
        <v>81.430876708499525</v>
      </c>
      <c r="H40">
        <f t="shared" si="3"/>
        <v>499.16966759002747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IQ</vt:lpstr>
      <vt:lpstr>Regression</vt:lpstr>
      <vt:lpstr>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Marc-Olivier Boldi</dc:creator>
  <cp:lastModifiedBy>Marc-Olivier Boldi</cp:lastModifiedBy>
  <dcterms:created xsi:type="dcterms:W3CDTF">2017-09-25T06:13:28Z</dcterms:created>
  <dcterms:modified xsi:type="dcterms:W3CDTF">2018-06-14T13:09:09Z</dcterms:modified>
</cp:coreProperties>
</file>