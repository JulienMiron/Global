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ldi\Documents\Teaching\StatisticalModelling\Slides\Module_01\"/>
    </mc:Choice>
  </mc:AlternateContent>
  <bookViews>
    <workbookView xWindow="0" yWindow="0" windowWidth="15225" windowHeight="11310" activeTab="3"/>
  </bookViews>
  <sheets>
    <sheet name="LSD" sheetId="1" r:id="rId1"/>
    <sheet name="Correlation" sheetId="2" r:id="rId2"/>
    <sheet name="Spearman" sheetId="3" r:id="rId3"/>
    <sheet name="Kenda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G12" i="4"/>
  <c r="F12" i="4"/>
  <c r="E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C23" i="4"/>
  <c r="C24" i="4"/>
  <c r="C25" i="4"/>
  <c r="C26" i="4"/>
  <c r="C27" i="4"/>
  <c r="C28" i="4"/>
  <c r="C29" i="4"/>
  <c r="C30" i="4"/>
  <c r="C31" i="4"/>
  <c r="C32" i="4"/>
  <c r="B32" i="4"/>
  <c r="B31" i="4"/>
  <c r="B30" i="4"/>
  <c r="B28" i="4"/>
  <c r="B29" i="4"/>
  <c r="B27" i="4"/>
  <c r="B24" i="4"/>
  <c r="B25" i="4"/>
  <c r="B26" i="4"/>
  <c r="B23" i="4"/>
  <c r="B19" i="4"/>
  <c r="C19" i="4"/>
  <c r="B20" i="4"/>
  <c r="C20" i="4"/>
  <c r="B21" i="4"/>
  <c r="C21" i="4"/>
  <c r="B22" i="4"/>
  <c r="C22" i="4"/>
  <c r="C18" i="4"/>
  <c r="B18" i="4"/>
  <c r="B13" i="4"/>
  <c r="C13" i="4"/>
  <c r="B14" i="4"/>
  <c r="C14" i="4"/>
  <c r="B15" i="4"/>
  <c r="C15" i="4"/>
  <c r="B16" i="4"/>
  <c r="C16" i="4"/>
  <c r="B17" i="4"/>
  <c r="C17" i="4"/>
  <c r="C12" i="4"/>
  <c r="B12" i="4"/>
  <c r="D12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A12" i="3"/>
  <c r="C3" i="3"/>
  <c r="C4" i="3"/>
  <c r="C5" i="3"/>
  <c r="C6" i="3"/>
  <c r="C7" i="3"/>
  <c r="C8" i="3"/>
  <c r="C2" i="3"/>
  <c r="B3" i="3"/>
  <c r="B4" i="3"/>
  <c r="B5" i="3"/>
  <c r="B6" i="3"/>
  <c r="B7" i="3"/>
  <c r="B8" i="3"/>
  <c r="B2" i="3"/>
  <c r="B11" i="2"/>
  <c r="D6" i="2" s="1"/>
  <c r="C11" i="2"/>
  <c r="E6" i="2" s="1"/>
  <c r="H6" i="2" s="1"/>
  <c r="E4" i="2"/>
  <c r="H4" i="2" s="1"/>
  <c r="B12" i="2"/>
  <c r="D5" i="2"/>
  <c r="G5" i="2" s="1"/>
  <c r="E5" i="2"/>
  <c r="H5" i="2" s="1"/>
  <c r="D7" i="2"/>
  <c r="G7" i="2" s="1"/>
  <c r="E7" i="2"/>
  <c r="H7" i="2" s="1"/>
  <c r="D9" i="2"/>
  <c r="G9" i="2" s="1"/>
  <c r="E9" i="2"/>
  <c r="H9" i="2" s="1"/>
  <c r="D4" i="2"/>
  <c r="G4" i="2" s="1"/>
  <c r="F6" i="2" l="1"/>
  <c r="G6" i="2"/>
  <c r="F9" i="2"/>
  <c r="F5" i="2"/>
  <c r="E10" i="2"/>
  <c r="H10" i="2" s="1"/>
  <c r="E8" i="2"/>
  <c r="H8" i="2" s="1"/>
  <c r="H11" i="2" s="1"/>
  <c r="F4" i="2"/>
  <c r="F7" i="2"/>
  <c r="D10" i="2"/>
  <c r="D8" i="2"/>
  <c r="F8" i="2" l="1"/>
  <c r="G8" i="2"/>
  <c r="G11" i="2" s="1"/>
  <c r="F10" i="2"/>
  <c r="B13" i="2" s="1"/>
  <c r="G10" i="2"/>
  <c r="B14" i="2" l="1"/>
</calcChain>
</file>

<file path=xl/sharedStrings.xml><?xml version="1.0" encoding="utf-8"?>
<sst xmlns="http://schemas.openxmlformats.org/spreadsheetml/2006/main" count="62" uniqueCount="46">
  <si>
    <t>LSD</t>
  </si>
  <si>
    <t>Math</t>
  </si>
  <si>
    <t>Correlation</t>
  </si>
  <si>
    <t>Avg</t>
  </si>
  <si>
    <t>(x - x_bar)</t>
  </si>
  <si>
    <t>(y - y_bar)</t>
  </si>
  <si>
    <t>(x-x_b)(y-y_b)</t>
  </si>
  <si>
    <t>Covariance</t>
  </si>
  <si>
    <t>n</t>
  </si>
  <si>
    <t>(x - x_b)^2</t>
  </si>
  <si>
    <t>(y - y_b)^2</t>
  </si>
  <si>
    <t>Variances</t>
  </si>
  <si>
    <t>Correlation matrix</t>
  </si>
  <si>
    <t>Rank LSD</t>
  </si>
  <si>
    <t>Rank Math</t>
  </si>
  <si>
    <t>Spearman</t>
  </si>
  <si>
    <t>Case</t>
  </si>
  <si>
    <t>1 - 2</t>
  </si>
  <si>
    <t>1 - 3</t>
  </si>
  <si>
    <t>1 - 4</t>
  </si>
  <si>
    <t>1 - 5</t>
  </si>
  <si>
    <t>1 - 6</t>
  </si>
  <si>
    <t>1 - 7</t>
  </si>
  <si>
    <t>2 - 3</t>
  </si>
  <si>
    <t>2 - 4</t>
  </si>
  <si>
    <t>2 - 5</t>
  </si>
  <si>
    <t>2 - 6</t>
  </si>
  <si>
    <t>2 - 7</t>
  </si>
  <si>
    <t>3 - 4</t>
  </si>
  <si>
    <t>3 - 5</t>
  </si>
  <si>
    <t>3 - 6</t>
  </si>
  <si>
    <t>3 - 7</t>
  </si>
  <si>
    <t>4 -5</t>
  </si>
  <si>
    <t>4 - 6</t>
  </si>
  <si>
    <t>4 - 7</t>
  </si>
  <si>
    <t>5 - 6</t>
  </si>
  <si>
    <t>5 - 7</t>
  </si>
  <si>
    <t>6 - 7</t>
  </si>
  <si>
    <t>Signs of the difference between the ranks</t>
  </si>
  <si>
    <t>Match</t>
  </si>
  <si>
    <t>C</t>
  </si>
  <si>
    <t>D</t>
  </si>
  <si>
    <t>Kendall's tau</t>
  </si>
  <si>
    <t>Not the exact same data set as in the course.</t>
  </si>
  <si>
    <t># discordant pairs</t>
  </si>
  <si>
    <t># concordant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</si>
</sst>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Maths</a:t>
            </a:r>
            <a:r>
              <a:rPr lang="en-US" baseline="0"/>
              <a:t> - LSD ; scatter plot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LSD!$A$1</c:f>
              <c:strCache>
                <c:ptCount val="1"/>
                <c:pt idx="0">
                  <c:v>LSD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LSD!$A$2:$A$8</c:f>
              <c:numCache>
                <c:formatCode>General</c:formatCode>
                <c:ptCount val="7"/>
                <c:pt idx="0">
                  <c:v>1.17</c:v>
                </c:pt>
                <c:pt idx="1">
                  <c:v>2.97</c:v>
                </c:pt>
                <c:pt idx="2">
                  <c:v>3.26</c:v>
                </c:pt>
                <c:pt idx="3">
                  <c:v>4.6900000000000004</c:v>
                </c:pt>
                <c:pt idx="4">
                  <c:v>5.83</c:v>
                </c:pt>
                <c:pt idx="5">
                  <c:v>6</c:v>
                </c:pt>
                <c:pt idx="6">
                  <c:v>6.41</c:v>
                </c:pt>
              </c:numCache>
            </c:numRef>
          </c:xVal>
          <c:yVal>
            <c:numRef>
              <c:f>LSD!$B$2:$B$8</c:f>
              <c:numCache>
                <c:formatCode>General</c:formatCode>
                <c:ptCount val="7"/>
                <c:pt idx="0">
                  <c:v>78.930000000000007</c:v>
                </c:pt>
                <c:pt idx="1">
                  <c:v>58.2</c:v>
                </c:pt>
                <c:pt idx="2">
                  <c:v>67.47</c:v>
                </c:pt>
                <c:pt idx="3">
                  <c:v>37.47</c:v>
                </c:pt>
                <c:pt idx="4">
                  <c:v>45.65</c:v>
                </c:pt>
                <c:pt idx="5">
                  <c:v>32.92</c:v>
                </c:pt>
                <c:pt idx="6">
                  <c:v>29.97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C-4FD5-8C2F-CF4B01B5B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335472"/>
        <c:axId val="487334640"/>
      </c:scatterChart>
      <c:valAx>
        <c:axId val="48733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LSD 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34640"/>
        <c:crosses val="autoZero"/>
        <c:crossBetween val="midCat"/>
      </c:valAx>
      <c:valAx>
        <c:axId val="4873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Math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3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Spearman!$B$1</c:f>
              <c:strCache>
                <c:ptCount val="1"/>
                <c:pt idx="0">
                  <c:v>Rank LSD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Spearman!$B$2:$B$8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Spearman!$C$2:$C$8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8-417E-9674-3BA5339FA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512960"/>
        <c:axId val="356511712"/>
      </c:scatterChart>
      <c:valAx>
        <c:axId val="3565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 LSD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11712"/>
        <c:crosses val="autoZero"/>
        <c:crossBetween val="midCat"/>
      </c:valAx>
      <c:valAx>
        <c:axId val="3565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 Math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12</xdr:row>
      <xdr:rowOff>14287</xdr:rowOff>
    </xdr:from>
    <xdr:to>
      <xdr:col>9</xdr:col>
      <xdr:colOff>381000</xdr:colOff>
      <xdr:row>26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8</xdr:row>
      <xdr:rowOff>123825</xdr:rowOff>
    </xdr:from>
    <xdr:to>
      <xdr:col>10</xdr:col>
      <xdr:colOff>76200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H7" sqref="H7"/>
    </sheetView>
  </sheetViews>
  <sheetFormatPr defaultRowHeight="15"/>
  <sheetData>
    <row r="1" spans="1:6">
      <c r="A1" t="s">
        <v>0</v>
      </c>
      <c r="B1" t="s">
        <v>1</v>
      </c>
      <c r="D1" s="7" t="s">
        <v>43</v>
      </c>
      <c r="E1" s="8"/>
      <c r="F1" s="9"/>
    </row>
    <row r="2" spans="1:6">
      <c r="A2" s="1">
        <v>1.17</v>
      </c>
      <c r="B2">
        <v>78.930000000000007</v>
      </c>
      <c r="D2" s="10"/>
      <c r="E2" s="11"/>
      <c r="F2" s="12"/>
    </row>
    <row r="3" spans="1:6">
      <c r="A3" s="1">
        <v>2.97</v>
      </c>
      <c r="B3">
        <v>58.2</v>
      </c>
      <c r="D3" s="10"/>
      <c r="E3" s="11"/>
      <c r="F3" s="12"/>
    </row>
    <row r="4" spans="1:6">
      <c r="A4" s="1">
        <v>3.26</v>
      </c>
      <c r="B4">
        <v>67.47</v>
      </c>
      <c r="D4" s="10"/>
      <c r="E4" s="11"/>
      <c r="F4" s="12"/>
    </row>
    <row r="5" spans="1:6">
      <c r="A5" s="1">
        <v>4.6900000000000004</v>
      </c>
      <c r="B5">
        <v>37.47</v>
      </c>
      <c r="D5" s="10"/>
      <c r="E5" s="11"/>
      <c r="F5" s="12"/>
    </row>
    <row r="6" spans="1:6">
      <c r="A6" s="1">
        <v>5.83</v>
      </c>
      <c r="B6">
        <v>45.65</v>
      </c>
      <c r="D6" s="10"/>
      <c r="E6" s="11"/>
      <c r="F6" s="12"/>
    </row>
    <row r="7" spans="1:6" ht="15.75" thickBot="1">
      <c r="A7" s="1">
        <v>6</v>
      </c>
      <c r="B7">
        <v>32.92</v>
      </c>
      <c r="D7" s="13"/>
      <c r="E7" s="14"/>
      <c r="F7" s="15"/>
    </row>
    <row r="8" spans="1:6">
      <c r="A8" s="1">
        <v>6.41</v>
      </c>
      <c r="B8">
        <v>29.97</v>
      </c>
    </row>
  </sheetData>
  <mergeCells count="1">
    <mergeCell ref="D1:F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3" sqref="B3:C10"/>
    </sheetView>
  </sheetViews>
  <sheetFormatPr defaultRowHeight="15"/>
  <cols>
    <col min="1" max="1" width="17.42578125" bestFit="1" customWidth="1"/>
    <col min="2" max="2" width="12.7109375" bestFit="1" customWidth="1"/>
    <col min="3" max="3" width="12" bestFit="1" customWidth="1"/>
    <col min="4" max="5" width="12.7109375" bestFit="1" customWidth="1"/>
    <col min="6" max="6" width="13.7109375" bestFit="1" customWidth="1"/>
    <col min="7" max="8" width="12" bestFit="1" customWidth="1"/>
  </cols>
  <sheetData>
    <row r="1" spans="1:8">
      <c r="A1" t="s">
        <v>2</v>
      </c>
    </row>
    <row r="3" spans="1:8">
      <c r="B3" t="s">
        <v>0</v>
      </c>
      <c r="C3" t="s">
        <v>1</v>
      </c>
      <c r="D3" t="s">
        <v>4</v>
      </c>
      <c r="E3" t="s">
        <v>5</v>
      </c>
      <c r="F3" t="s">
        <v>6</v>
      </c>
      <c r="G3" t="s">
        <v>9</v>
      </c>
      <c r="H3" t="s">
        <v>10</v>
      </c>
    </row>
    <row r="4" spans="1:8">
      <c r="B4" s="1">
        <v>1.17</v>
      </c>
      <c r="C4">
        <v>78.930000000000007</v>
      </c>
      <c r="D4">
        <f>(B4-B$11)</f>
        <v>-3.1628571428571428</v>
      </c>
      <c r="E4">
        <f>(C4-C$11)</f>
        <v>28.842857142857149</v>
      </c>
      <c r="F4">
        <f>D4*E4</f>
        <v>-91.2258367346939</v>
      </c>
      <c r="G4">
        <f>D4^2</f>
        <v>10.003665306122448</v>
      </c>
      <c r="H4">
        <f>E4^2</f>
        <v>831.91040816326563</v>
      </c>
    </row>
    <row r="5" spans="1:8">
      <c r="B5" s="1">
        <v>2.97</v>
      </c>
      <c r="C5">
        <v>58.2</v>
      </c>
      <c r="D5">
        <f t="shared" ref="D5:D10" si="0">(B5-B$11)</f>
        <v>-1.3628571428571425</v>
      </c>
      <c r="E5">
        <f t="shared" ref="E5:E10" si="1">(C5-C$11)</f>
        <v>8.1128571428571448</v>
      </c>
      <c r="F5">
        <f t="shared" ref="F5:F10" si="2">D5*E5</f>
        <v>-11.056665306122449</v>
      </c>
      <c r="G5">
        <f t="shared" ref="G5:G10" si="3">D5^2</f>
        <v>1.8573795918367337</v>
      </c>
      <c r="H5">
        <f t="shared" ref="H5:H10" si="4">E5^2</f>
        <v>65.81845102040819</v>
      </c>
    </row>
    <row r="6" spans="1:8">
      <c r="B6" s="1">
        <v>3.26</v>
      </c>
      <c r="C6">
        <v>67.47</v>
      </c>
      <c r="D6">
        <f t="shared" si="0"/>
        <v>-1.072857142857143</v>
      </c>
      <c r="E6">
        <f t="shared" si="1"/>
        <v>17.382857142857141</v>
      </c>
      <c r="F6">
        <f t="shared" si="2"/>
        <v>-18.649322448979593</v>
      </c>
      <c r="G6">
        <f t="shared" si="3"/>
        <v>1.1510224489795919</v>
      </c>
      <c r="H6">
        <f t="shared" si="4"/>
        <v>302.16372244897951</v>
      </c>
    </row>
    <row r="7" spans="1:8">
      <c r="B7" s="1">
        <v>4.6900000000000004</v>
      </c>
      <c r="C7">
        <v>37.47</v>
      </c>
      <c r="D7">
        <f t="shared" si="0"/>
        <v>0.35714285714285765</v>
      </c>
      <c r="E7">
        <f t="shared" si="1"/>
        <v>-12.617142857142859</v>
      </c>
      <c r="F7">
        <f t="shared" si="2"/>
        <v>-4.5061224489795988</v>
      </c>
      <c r="G7">
        <f t="shared" si="3"/>
        <v>0.12755102040816363</v>
      </c>
      <c r="H7">
        <f t="shared" si="4"/>
        <v>159.19229387755107</v>
      </c>
    </row>
    <row r="8" spans="1:8">
      <c r="B8" s="1">
        <v>5.83</v>
      </c>
      <c r="C8">
        <v>45.65</v>
      </c>
      <c r="D8">
        <f t="shared" si="0"/>
        <v>1.4971428571428573</v>
      </c>
      <c r="E8">
        <f t="shared" si="1"/>
        <v>-4.4371428571428595</v>
      </c>
      <c r="F8">
        <f t="shared" si="2"/>
        <v>-6.6430367346938821</v>
      </c>
      <c r="G8">
        <f t="shared" si="3"/>
        <v>2.2414367346938779</v>
      </c>
      <c r="H8">
        <f t="shared" si="4"/>
        <v>19.688236734693898</v>
      </c>
    </row>
    <row r="9" spans="1:8">
      <c r="B9" s="1">
        <v>6</v>
      </c>
      <c r="C9">
        <v>32.92</v>
      </c>
      <c r="D9">
        <f t="shared" si="0"/>
        <v>1.6671428571428573</v>
      </c>
      <c r="E9">
        <f t="shared" si="1"/>
        <v>-17.167142857142856</v>
      </c>
      <c r="F9">
        <f t="shared" si="2"/>
        <v>-28.620079591836735</v>
      </c>
      <c r="G9">
        <f t="shared" si="3"/>
        <v>2.7793653061224495</v>
      </c>
      <c r="H9">
        <f t="shared" si="4"/>
        <v>294.710793877551</v>
      </c>
    </row>
    <row r="10" spans="1:8">
      <c r="B10" s="1">
        <v>6.41</v>
      </c>
      <c r="C10">
        <v>29.97</v>
      </c>
      <c r="D10">
        <f t="shared" si="0"/>
        <v>2.0771428571428574</v>
      </c>
      <c r="E10">
        <f t="shared" si="1"/>
        <v>-20.117142857142859</v>
      </c>
      <c r="F10">
        <f t="shared" si="2"/>
        <v>-41.786179591836742</v>
      </c>
      <c r="G10">
        <f t="shared" si="3"/>
        <v>4.3145224489795932</v>
      </c>
      <c r="H10">
        <f t="shared" si="4"/>
        <v>404.69943673469396</v>
      </c>
    </row>
    <row r="11" spans="1:8">
      <c r="A11" t="s">
        <v>3</v>
      </c>
      <c r="B11">
        <f>AVERAGE(B4:B10)</f>
        <v>4.3328571428571427</v>
      </c>
      <c r="C11">
        <f>AVERAGE(C4:C10)</f>
        <v>50.087142857142858</v>
      </c>
      <c r="F11" t="s">
        <v>11</v>
      </c>
      <c r="G11">
        <f>SUM(G4:G10)/($B$12-1)</f>
        <v>3.7458238095238094</v>
      </c>
      <c r="H11">
        <f>SUM(H4:H10)/($B$12-1)</f>
        <v>346.36389047619053</v>
      </c>
    </row>
    <row r="12" spans="1:8">
      <c r="A12" t="s">
        <v>8</v>
      </c>
      <c r="B12">
        <f>COUNT(B4:B10)</f>
        <v>7</v>
      </c>
    </row>
    <row r="13" spans="1:8">
      <c r="A13" t="s">
        <v>7</v>
      </c>
      <c r="B13">
        <f>SUM(F4:F10)/(B12-1)</f>
        <v>-33.747873809523817</v>
      </c>
    </row>
    <row r="14" spans="1:8">
      <c r="A14" t="s">
        <v>2</v>
      </c>
      <c r="B14">
        <f>B13/SQRT(G11*H11)</f>
        <v>-0.93692847687408298</v>
      </c>
    </row>
    <row r="17" spans="1:3" ht="15.75" thickBot="1">
      <c r="A17" t="s">
        <v>12</v>
      </c>
    </row>
    <row r="18" spans="1:3">
      <c r="A18" s="4"/>
      <c r="B18" s="4" t="s">
        <v>0</v>
      </c>
      <c r="C18" s="4" t="s">
        <v>1</v>
      </c>
    </row>
    <row r="19" spans="1:3">
      <c r="A19" s="2" t="s">
        <v>0</v>
      </c>
      <c r="B19" s="2">
        <v>1</v>
      </c>
      <c r="C19" s="2"/>
    </row>
    <row r="20" spans="1:3" ht="15.75" thickBot="1">
      <c r="A20" s="3" t="s">
        <v>1</v>
      </c>
      <c r="B20" s="3">
        <v>-0.93692847687408309</v>
      </c>
      <c r="C20" s="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26" sqref="E26"/>
    </sheetView>
  </sheetViews>
  <sheetFormatPr defaultRowHeight="15"/>
  <cols>
    <col min="3" max="3" width="10.28515625" bestFit="1" customWidth="1"/>
  </cols>
  <sheetData>
    <row r="1" spans="1:4">
      <c r="A1" t="s">
        <v>0</v>
      </c>
      <c r="B1" t="s">
        <v>13</v>
      </c>
      <c r="C1" t="s">
        <v>14</v>
      </c>
      <c r="D1" t="s">
        <v>1</v>
      </c>
    </row>
    <row r="2" spans="1:4">
      <c r="A2" s="1">
        <v>1.17</v>
      </c>
      <c r="B2">
        <f>_xlfn.RANK.EQ(A2,$A$2:$A$8)</f>
        <v>7</v>
      </c>
      <c r="C2">
        <f>_xlfn.RANK.EQ(D2,$D$2:$D$8)</f>
        <v>1</v>
      </c>
      <c r="D2">
        <v>78.930000000000007</v>
      </c>
    </row>
    <row r="3" spans="1:4">
      <c r="A3" s="1">
        <v>2.97</v>
      </c>
      <c r="B3">
        <f t="shared" ref="B3:B8" si="0">_xlfn.RANK.EQ(A3,$A$2:$A$8)</f>
        <v>6</v>
      </c>
      <c r="C3">
        <f t="shared" ref="C3:C8" si="1">_xlfn.RANK.EQ(D3,$D$2:$D$8)</f>
        <v>3</v>
      </c>
      <c r="D3">
        <v>58.2</v>
      </c>
    </row>
    <row r="4" spans="1:4">
      <c r="A4" s="1">
        <v>3.26</v>
      </c>
      <c r="B4">
        <f t="shared" si="0"/>
        <v>5</v>
      </c>
      <c r="C4">
        <f t="shared" si="1"/>
        <v>2</v>
      </c>
      <c r="D4">
        <v>67.47</v>
      </c>
    </row>
    <row r="5" spans="1:4">
      <c r="A5" s="1">
        <v>4.6900000000000004</v>
      </c>
      <c r="B5">
        <f t="shared" si="0"/>
        <v>4</v>
      </c>
      <c r="C5">
        <f t="shared" si="1"/>
        <v>5</v>
      </c>
      <c r="D5">
        <v>37.47</v>
      </c>
    </row>
    <row r="6" spans="1:4">
      <c r="A6" s="1">
        <v>5.83</v>
      </c>
      <c r="B6">
        <f t="shared" si="0"/>
        <v>3</v>
      </c>
      <c r="C6">
        <f t="shared" si="1"/>
        <v>4</v>
      </c>
      <c r="D6">
        <v>45.65</v>
      </c>
    </row>
    <row r="7" spans="1:4">
      <c r="A7" s="1">
        <v>6</v>
      </c>
      <c r="B7">
        <f t="shared" si="0"/>
        <v>2</v>
      </c>
      <c r="C7">
        <f t="shared" si="1"/>
        <v>6</v>
      </c>
      <c r="D7">
        <v>32.92</v>
      </c>
    </row>
    <row r="8" spans="1:4">
      <c r="A8" s="1">
        <v>6.41</v>
      </c>
      <c r="B8">
        <f t="shared" si="0"/>
        <v>1</v>
      </c>
      <c r="C8">
        <f t="shared" si="1"/>
        <v>7</v>
      </c>
      <c r="D8">
        <v>29.97</v>
      </c>
    </row>
    <row r="11" spans="1:4">
      <c r="A11" t="s">
        <v>15</v>
      </c>
    </row>
    <row r="12" spans="1:4">
      <c r="A12">
        <f>CORREL(B2:B8,C2:C8)</f>
        <v>-0.9285714285714286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E11" sqref="E11"/>
    </sheetView>
  </sheetViews>
  <sheetFormatPr defaultRowHeight="15"/>
  <sheetData>
    <row r="1" spans="1:7">
      <c r="A1" t="s">
        <v>16</v>
      </c>
      <c r="B1" t="s">
        <v>0</v>
      </c>
      <c r="C1" t="s">
        <v>13</v>
      </c>
      <c r="D1" t="s">
        <v>14</v>
      </c>
      <c r="E1" t="s">
        <v>1</v>
      </c>
    </row>
    <row r="2" spans="1:7">
      <c r="A2">
        <v>1</v>
      </c>
      <c r="B2" s="1">
        <v>1.17</v>
      </c>
      <c r="C2">
        <f>_xlfn.RANK.EQ(B2,$B$2:$B$8)</f>
        <v>7</v>
      </c>
      <c r="D2">
        <f>_xlfn.RANK.EQ(E2,$E$2:$E$8)</f>
        <v>1</v>
      </c>
      <c r="E2">
        <v>78.930000000000007</v>
      </c>
    </row>
    <row r="3" spans="1:7">
      <c r="A3">
        <v>2</v>
      </c>
      <c r="B3" s="1">
        <v>2.97</v>
      </c>
      <c r="C3">
        <f t="shared" ref="C3:C8" si="0">_xlfn.RANK.EQ(B3,$B$2:$B$8)</f>
        <v>6</v>
      </c>
      <c r="D3">
        <f t="shared" ref="D3:D8" si="1">_xlfn.RANK.EQ(E3,$E$2:$E$8)</f>
        <v>3</v>
      </c>
      <c r="E3">
        <v>58.2</v>
      </c>
    </row>
    <row r="4" spans="1:7">
      <c r="A4">
        <v>3</v>
      </c>
      <c r="B4" s="1">
        <v>3.26</v>
      </c>
      <c r="C4">
        <f t="shared" si="0"/>
        <v>5</v>
      </c>
      <c r="D4">
        <f t="shared" si="1"/>
        <v>2</v>
      </c>
      <c r="E4">
        <v>67.47</v>
      </c>
    </row>
    <row r="5" spans="1:7">
      <c r="A5">
        <v>4</v>
      </c>
      <c r="B5" s="1">
        <v>4.6900000000000004</v>
      </c>
      <c r="C5">
        <f t="shared" si="0"/>
        <v>4</v>
      </c>
      <c r="D5">
        <f t="shared" si="1"/>
        <v>5</v>
      </c>
      <c r="E5">
        <v>37.47</v>
      </c>
    </row>
    <row r="6" spans="1:7">
      <c r="A6">
        <v>5</v>
      </c>
      <c r="B6" s="1">
        <v>5.83</v>
      </c>
      <c r="C6">
        <f t="shared" si="0"/>
        <v>3</v>
      </c>
      <c r="D6">
        <f t="shared" si="1"/>
        <v>4</v>
      </c>
      <c r="E6">
        <v>45.65</v>
      </c>
    </row>
    <row r="7" spans="1:7">
      <c r="A7">
        <v>6</v>
      </c>
      <c r="B7" s="1">
        <v>6</v>
      </c>
      <c r="C7">
        <f t="shared" si="0"/>
        <v>2</v>
      </c>
      <c r="D7">
        <f t="shared" si="1"/>
        <v>6</v>
      </c>
      <c r="E7">
        <v>32.92</v>
      </c>
    </row>
    <row r="8" spans="1:7">
      <c r="A8">
        <v>7</v>
      </c>
      <c r="B8" s="1">
        <v>6.41</v>
      </c>
      <c r="C8">
        <f t="shared" si="0"/>
        <v>1</v>
      </c>
      <c r="D8">
        <f t="shared" si="1"/>
        <v>7</v>
      </c>
      <c r="E8">
        <v>29.97</v>
      </c>
    </row>
    <row r="9" spans="1:7">
      <c r="B9" s="1"/>
    </row>
    <row r="10" spans="1:7" ht="52.5" customHeight="1">
      <c r="B10" s="6" t="s">
        <v>38</v>
      </c>
      <c r="C10" s="6"/>
      <c r="E10" t="s">
        <v>45</v>
      </c>
      <c r="F10" t="s">
        <v>44</v>
      </c>
    </row>
    <row r="11" spans="1:7">
      <c r="B11" t="s">
        <v>0</v>
      </c>
      <c r="C11" t="s">
        <v>1</v>
      </c>
      <c r="D11" t="s">
        <v>39</v>
      </c>
      <c r="E11" t="s">
        <v>40</v>
      </c>
      <c r="F11" t="s">
        <v>41</v>
      </c>
      <c r="G11" t="s">
        <v>8</v>
      </c>
    </row>
    <row r="12" spans="1:7">
      <c r="A12" s="5" t="s">
        <v>17</v>
      </c>
      <c r="B12">
        <f>SIGN(C$2-C3)</f>
        <v>1</v>
      </c>
      <c r="C12">
        <f>SIGN(D$2-D3)</f>
        <v>-1</v>
      </c>
      <c r="D12">
        <f>B12*C12</f>
        <v>-1</v>
      </c>
      <c r="E12">
        <f>COUNTIF(D12:D32,1)</f>
        <v>2</v>
      </c>
      <c r="F12">
        <f>COUNTIF(D12:D32,-1)</f>
        <v>19</v>
      </c>
      <c r="G12">
        <f>COUNT(B2:B8)</f>
        <v>7</v>
      </c>
    </row>
    <row r="13" spans="1:7">
      <c r="A13" s="5" t="s">
        <v>18</v>
      </c>
      <c r="B13">
        <f t="shared" ref="B13:C13" si="2">SIGN(C$2-C4)</f>
        <v>1</v>
      </c>
      <c r="C13">
        <f t="shared" si="2"/>
        <v>-1</v>
      </c>
      <c r="D13">
        <f t="shared" ref="D13:D32" si="3">B13*C13</f>
        <v>-1</v>
      </c>
    </row>
    <row r="14" spans="1:7">
      <c r="A14" s="5" t="s">
        <v>19</v>
      </c>
      <c r="B14">
        <f t="shared" ref="B14:C14" si="4">SIGN(C$2-C5)</f>
        <v>1</v>
      </c>
      <c r="C14">
        <f t="shared" si="4"/>
        <v>-1</v>
      </c>
      <c r="D14">
        <f t="shared" si="3"/>
        <v>-1</v>
      </c>
      <c r="F14" t="s">
        <v>42</v>
      </c>
    </row>
    <row r="15" spans="1:7">
      <c r="A15" s="5" t="s">
        <v>20</v>
      </c>
      <c r="B15">
        <f t="shared" ref="B15:C15" si="5">SIGN(C$2-C6)</f>
        <v>1</v>
      </c>
      <c r="C15">
        <f t="shared" si="5"/>
        <v>-1</v>
      </c>
      <c r="D15">
        <f t="shared" si="3"/>
        <v>-1</v>
      </c>
      <c r="F15">
        <f>(E12-F12)/(G12*(G12-1)/2)</f>
        <v>-0.80952380952380953</v>
      </c>
    </row>
    <row r="16" spans="1:7">
      <c r="A16" s="5" t="s">
        <v>21</v>
      </c>
      <c r="B16">
        <f t="shared" ref="B16:C16" si="6">SIGN(C$2-C7)</f>
        <v>1</v>
      </c>
      <c r="C16">
        <f t="shared" si="6"/>
        <v>-1</v>
      </c>
      <c r="D16">
        <f t="shared" si="3"/>
        <v>-1</v>
      </c>
    </row>
    <row r="17" spans="1:4">
      <c r="A17" s="5" t="s">
        <v>22</v>
      </c>
      <c r="B17">
        <f t="shared" ref="B17:C17" si="7">SIGN(C$2-C8)</f>
        <v>1</v>
      </c>
      <c r="C17">
        <f t="shared" si="7"/>
        <v>-1</v>
      </c>
      <c r="D17">
        <f t="shared" si="3"/>
        <v>-1</v>
      </c>
    </row>
    <row r="18" spans="1:4">
      <c r="A18" s="5" t="s">
        <v>23</v>
      </c>
      <c r="B18">
        <f>SIGN(C$3-C4)</f>
        <v>1</v>
      </c>
      <c r="C18">
        <f>SIGN(D$3-D4)</f>
        <v>1</v>
      </c>
      <c r="D18">
        <f t="shared" si="3"/>
        <v>1</v>
      </c>
    </row>
    <row r="19" spans="1:4">
      <c r="A19" s="5" t="s">
        <v>24</v>
      </c>
      <c r="B19">
        <f t="shared" ref="B19:C19" si="8">SIGN(C$3-C5)</f>
        <v>1</v>
      </c>
      <c r="C19">
        <f t="shared" si="8"/>
        <v>-1</v>
      </c>
      <c r="D19">
        <f t="shared" si="3"/>
        <v>-1</v>
      </c>
    </row>
    <row r="20" spans="1:4">
      <c r="A20" s="5" t="s">
        <v>25</v>
      </c>
      <c r="B20">
        <f t="shared" ref="B20:C20" si="9">SIGN(C$3-C6)</f>
        <v>1</v>
      </c>
      <c r="C20">
        <f t="shared" si="9"/>
        <v>-1</v>
      </c>
      <c r="D20">
        <f t="shared" si="3"/>
        <v>-1</v>
      </c>
    </row>
    <row r="21" spans="1:4">
      <c r="A21" s="5" t="s">
        <v>26</v>
      </c>
      <c r="B21">
        <f t="shared" ref="B21:C21" si="10">SIGN(C$3-C7)</f>
        <v>1</v>
      </c>
      <c r="C21">
        <f t="shared" si="10"/>
        <v>-1</v>
      </c>
      <c r="D21">
        <f t="shared" si="3"/>
        <v>-1</v>
      </c>
    </row>
    <row r="22" spans="1:4">
      <c r="A22" s="5" t="s">
        <v>27</v>
      </c>
      <c r="B22">
        <f t="shared" ref="B22:C22" si="11">SIGN(C$3-C8)</f>
        <v>1</v>
      </c>
      <c r="C22">
        <f t="shared" si="11"/>
        <v>-1</v>
      </c>
      <c r="D22">
        <f t="shared" si="3"/>
        <v>-1</v>
      </c>
    </row>
    <row r="23" spans="1:4">
      <c r="A23" s="5" t="s">
        <v>28</v>
      </c>
      <c r="B23">
        <f>SIGN(C$4-C5)</f>
        <v>1</v>
      </c>
      <c r="C23">
        <f>SIGN(D$4-D5)</f>
        <v>-1</v>
      </c>
      <c r="D23">
        <f t="shared" si="3"/>
        <v>-1</v>
      </c>
    </row>
    <row r="24" spans="1:4">
      <c r="A24" s="5" t="s">
        <v>29</v>
      </c>
      <c r="B24">
        <f t="shared" ref="B24:C26" si="12">SIGN(C$4-C6)</f>
        <v>1</v>
      </c>
      <c r="C24">
        <f t="shared" si="12"/>
        <v>-1</v>
      </c>
      <c r="D24">
        <f t="shared" si="3"/>
        <v>-1</v>
      </c>
    </row>
    <row r="25" spans="1:4">
      <c r="A25" s="5" t="s">
        <v>30</v>
      </c>
      <c r="B25">
        <f t="shared" si="12"/>
        <v>1</v>
      </c>
      <c r="C25">
        <f t="shared" si="12"/>
        <v>-1</v>
      </c>
      <c r="D25">
        <f t="shared" si="3"/>
        <v>-1</v>
      </c>
    </row>
    <row r="26" spans="1:4">
      <c r="A26" s="5" t="s">
        <v>31</v>
      </c>
      <c r="B26">
        <f t="shared" si="12"/>
        <v>1</v>
      </c>
      <c r="C26">
        <f t="shared" si="12"/>
        <v>-1</v>
      </c>
      <c r="D26">
        <f t="shared" si="3"/>
        <v>-1</v>
      </c>
    </row>
    <row r="27" spans="1:4">
      <c r="A27" s="5" t="s">
        <v>32</v>
      </c>
      <c r="B27">
        <f>SIGN(C$5-C6)</f>
        <v>1</v>
      </c>
      <c r="C27">
        <f>SIGN(D$5-D6)</f>
        <v>1</v>
      </c>
      <c r="D27">
        <f t="shared" si="3"/>
        <v>1</v>
      </c>
    </row>
    <row r="28" spans="1:4">
      <c r="A28" s="5" t="s">
        <v>33</v>
      </c>
      <c r="B28">
        <f t="shared" ref="B28:C30" si="13">SIGN(C$5-C7)</f>
        <v>1</v>
      </c>
      <c r="C28">
        <f t="shared" si="13"/>
        <v>-1</v>
      </c>
      <c r="D28">
        <f t="shared" si="3"/>
        <v>-1</v>
      </c>
    </row>
    <row r="29" spans="1:4">
      <c r="A29" s="5" t="s">
        <v>34</v>
      </c>
      <c r="B29">
        <f t="shared" si="13"/>
        <v>1</v>
      </c>
      <c r="C29">
        <f t="shared" si="13"/>
        <v>-1</v>
      </c>
      <c r="D29">
        <f t="shared" si="3"/>
        <v>-1</v>
      </c>
    </row>
    <row r="30" spans="1:4">
      <c r="A30" s="5" t="s">
        <v>35</v>
      </c>
      <c r="B30">
        <f>SIGN(C$6-C7)</f>
        <v>1</v>
      </c>
      <c r="C30">
        <f>SIGN(D$6-D7)</f>
        <v>-1</v>
      </c>
      <c r="D30">
        <f t="shared" si="3"/>
        <v>-1</v>
      </c>
    </row>
    <row r="31" spans="1:4">
      <c r="A31" s="5" t="s">
        <v>36</v>
      </c>
      <c r="B31">
        <f>SIGN(C$6-C8)</f>
        <v>1</v>
      </c>
      <c r="C31">
        <f>SIGN(D$6-D8)</f>
        <v>-1</v>
      </c>
      <c r="D31">
        <f t="shared" si="3"/>
        <v>-1</v>
      </c>
    </row>
    <row r="32" spans="1:4">
      <c r="A32" s="5" t="s">
        <v>37</v>
      </c>
      <c r="B32">
        <f>SIGN(C$7-C8)</f>
        <v>1</v>
      </c>
      <c r="C32">
        <f>SIGN(D$7-D8)</f>
        <v>-1</v>
      </c>
      <c r="D32">
        <f t="shared" si="3"/>
        <v>-1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LSD</vt:lpstr>
      <vt:lpstr>Correlation</vt:lpstr>
      <vt:lpstr>Spearman</vt:lpstr>
      <vt:lpstr>Kendall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Marc-Olivier Boldi</dc:creator>
  <cp:lastModifiedBy>Marc-Olivier Boldi</cp:lastModifiedBy>
  <dcterms:created xsi:type="dcterms:W3CDTF">2017-09-25T06:28:09Z</dcterms:created>
  <dcterms:modified xsi:type="dcterms:W3CDTF">2017-09-25T06:53:33Z</dcterms:modified>
</cp:coreProperties>
</file>