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ldi\Documents\Teaching\StatisticalModelling\2018-2019\Module_03\"/>
    </mc:Choice>
  </mc:AlternateContent>
  <bookViews>
    <workbookView xWindow="0" yWindow="0" windowWidth="15180" windowHeight="11085"/>
  </bookViews>
  <sheets>
    <sheet name="Hotel_Sales" sheetId="7" r:id="rId1"/>
    <sheet name="Dummy variables" sheetId="2" r:id="rId2"/>
    <sheet name="Interaction" sheetId="3" r:id="rId3"/>
    <sheet name="Diamond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4" i="5"/>
  <c r="M5" i="5"/>
  <c r="N12" i="5"/>
  <c r="O25" i="5"/>
  <c r="L32" i="5"/>
  <c r="M39" i="5"/>
  <c r="O45" i="5"/>
  <c r="P52" i="5"/>
  <c r="L56" i="5"/>
  <c r="P59" i="5"/>
  <c r="L73" i="5"/>
  <c r="M76" i="5"/>
  <c r="L78" i="5"/>
  <c r="P85" i="5"/>
  <c r="P87" i="5"/>
  <c r="N92" i="5"/>
  <c r="P93" i="5"/>
  <c r="O94" i="5"/>
  <c r="O98" i="5"/>
  <c r="M100" i="5"/>
  <c r="P101" i="5"/>
  <c r="M104" i="5"/>
  <c r="L106" i="5"/>
  <c r="P108" i="5"/>
  <c r="L109" i="5"/>
  <c r="P109" i="5"/>
  <c r="N111" i="5"/>
  <c r="L113" i="5"/>
  <c r="N114" i="5"/>
  <c r="M116" i="5"/>
  <c r="N117" i="5"/>
  <c r="L120" i="5"/>
  <c r="L121" i="5"/>
  <c r="O121" i="5"/>
  <c r="P121" i="5"/>
  <c r="M124" i="5"/>
  <c r="P124" i="5"/>
  <c r="P125" i="5"/>
  <c r="N127" i="5"/>
  <c r="L129" i="5"/>
  <c r="N130" i="5"/>
  <c r="P132" i="5"/>
  <c r="N133" i="5"/>
  <c r="P133" i="5"/>
  <c r="L137" i="5"/>
  <c r="O137" i="5"/>
  <c r="L140" i="5"/>
  <c r="M140" i="5"/>
  <c r="L141" i="5"/>
  <c r="P141" i="5"/>
  <c r="O145" i="5"/>
  <c r="M146" i="5"/>
  <c r="P148" i="5"/>
  <c r="P149" i="5"/>
  <c r="P151" i="5"/>
  <c r="L153" i="5"/>
  <c r="P153" i="5"/>
  <c r="L156" i="5"/>
  <c r="L157" i="5"/>
  <c r="L160" i="5"/>
  <c r="L161" i="5"/>
  <c r="O161" i="5"/>
  <c r="M164" i="5"/>
  <c r="P165" i="5"/>
  <c r="N167" i="5"/>
  <c r="P168" i="5"/>
  <c r="P169" i="5"/>
  <c r="P172" i="5"/>
  <c r="L173" i="5"/>
  <c r="P173" i="5"/>
  <c r="L177" i="5"/>
  <c r="N178" i="5"/>
  <c r="M180" i="5"/>
  <c r="L183" i="5"/>
  <c r="L184" i="5"/>
  <c r="L185" i="5"/>
  <c r="P185" i="5"/>
  <c r="L187" i="5"/>
  <c r="L188" i="5"/>
  <c r="M188" i="5"/>
  <c r="P188" i="5"/>
  <c r="P189" i="5"/>
  <c r="L191" i="5"/>
  <c r="M192" i="5"/>
  <c r="N192" i="5"/>
  <c r="O193" i="5"/>
  <c r="P193" i="5"/>
  <c r="L196" i="5"/>
  <c r="P196" i="5"/>
  <c r="L197" i="5"/>
  <c r="O197" i="5"/>
  <c r="P197" i="5"/>
  <c r="L198" i="5"/>
  <c r="O199" i="5"/>
  <c r="M200" i="5"/>
  <c r="P200" i="5"/>
  <c r="L201" i="5"/>
  <c r="P201" i="5"/>
  <c r="L204" i="5"/>
  <c r="L205" i="5"/>
  <c r="M205" i="5"/>
  <c r="M208" i="5"/>
  <c r="P208" i="5"/>
  <c r="O209" i="5"/>
  <c r="P209" i="5"/>
  <c r="P210" i="5"/>
  <c r="L212" i="5"/>
  <c r="N212" i="5"/>
  <c r="L213" i="5"/>
  <c r="O213" i="5"/>
  <c r="P213" i="5"/>
  <c r="M215" i="5"/>
  <c r="L216" i="5"/>
  <c r="M216" i="5"/>
  <c r="P216" i="5"/>
  <c r="L217" i="5"/>
  <c r="P217" i="5"/>
  <c r="L218" i="5"/>
  <c r="N219" i="5"/>
  <c r="M220" i="5"/>
  <c r="L221" i="5"/>
  <c r="O221" i="5"/>
  <c r="N222" i="5"/>
  <c r="O223" i="5"/>
  <c r="P224" i="5"/>
  <c r="M225" i="5"/>
  <c r="P225" i="5"/>
  <c r="M226" i="5"/>
  <c r="N227" i="5"/>
  <c r="L228" i="5"/>
  <c r="M228" i="5"/>
  <c r="L229" i="5"/>
  <c r="N229" i="5"/>
  <c r="O229" i="5"/>
  <c r="P229" i="5"/>
  <c r="N230" i="5"/>
  <c r="O230" i="5"/>
  <c r="M232" i="5"/>
  <c r="O232" i="5"/>
  <c r="P232" i="5"/>
  <c r="L233" i="5"/>
  <c r="O233" i="5"/>
  <c r="P233" i="5"/>
  <c r="P235" i="5"/>
  <c r="L236" i="5"/>
  <c r="P236" i="5"/>
  <c r="L237" i="5"/>
  <c r="O237" i="5"/>
  <c r="P237" i="5"/>
  <c r="M239" i="5"/>
  <c r="L240" i="5"/>
  <c r="M240" i="5"/>
  <c r="P240" i="5"/>
  <c r="L241" i="5"/>
  <c r="N241" i="5"/>
  <c r="P241" i="5"/>
  <c r="N242" i="5"/>
  <c r="M243" i="5"/>
  <c r="L244" i="5"/>
  <c r="M244" i="5"/>
  <c r="O244" i="5"/>
  <c r="L245" i="5"/>
  <c r="O245" i="5"/>
  <c r="P245" i="5"/>
  <c r="O246" i="5"/>
  <c r="N247" i="5"/>
  <c r="P247" i="5"/>
  <c r="M248" i="5"/>
  <c r="P248" i="5"/>
  <c r="L249" i="5"/>
  <c r="O249" i="5"/>
  <c r="P249" i="5"/>
  <c r="O250" i="5"/>
  <c r="L251" i="5"/>
  <c r="L252" i="5"/>
  <c r="P252" i="5"/>
  <c r="L253" i="5"/>
  <c r="O253" i="5"/>
  <c r="P253" i="5"/>
  <c r="M254" i="5"/>
  <c r="L255" i="5"/>
  <c r="L256" i="5"/>
  <c r="M256" i="5"/>
  <c r="P256" i="5"/>
  <c r="L257" i="5"/>
  <c r="P257" i="5"/>
  <c r="M258" i="5"/>
  <c r="N259" i="5"/>
  <c r="L260" i="5"/>
  <c r="M260" i="5"/>
  <c r="L261" i="5"/>
  <c r="N261" i="5"/>
  <c r="O261" i="5"/>
  <c r="P261" i="5"/>
  <c r="N262" i="5"/>
  <c r="O262" i="5"/>
  <c r="M264" i="5"/>
  <c r="O264" i="5"/>
  <c r="P264" i="5"/>
  <c r="L265" i="5"/>
  <c r="O265" i="5"/>
  <c r="P265" i="5"/>
  <c r="P267" i="5"/>
  <c r="L268" i="5"/>
  <c r="P268" i="5"/>
  <c r="L269" i="5"/>
  <c r="O269" i="5"/>
  <c r="P269" i="5"/>
  <c r="M271" i="5"/>
  <c r="L272" i="5"/>
  <c r="M272" i="5"/>
  <c r="P272" i="5"/>
  <c r="L273" i="5"/>
  <c r="N273" i="5"/>
  <c r="P273" i="5"/>
  <c r="N274" i="5"/>
  <c r="M275" i="5"/>
  <c r="L276" i="5"/>
  <c r="M276" i="5"/>
  <c r="O276" i="5"/>
  <c r="L277" i="5"/>
  <c r="O277" i="5"/>
  <c r="P277" i="5"/>
  <c r="O278" i="5"/>
  <c r="N279" i="5"/>
  <c r="P279" i="5"/>
  <c r="M280" i="5"/>
  <c r="P280" i="5"/>
  <c r="L281" i="5"/>
  <c r="O281" i="5"/>
  <c r="P281" i="5"/>
  <c r="O282" i="5"/>
  <c r="L283" i="5"/>
  <c r="L284" i="5"/>
  <c r="P284" i="5"/>
  <c r="L285" i="5"/>
  <c r="O285" i="5"/>
  <c r="P285" i="5"/>
  <c r="M286" i="5"/>
  <c r="L287" i="5"/>
  <c r="L288" i="5"/>
  <c r="M288" i="5"/>
  <c r="P288" i="5"/>
  <c r="L289" i="5"/>
  <c r="P289" i="5"/>
  <c r="M290" i="5"/>
  <c r="N291" i="5"/>
  <c r="L292" i="5"/>
  <c r="M292" i="5"/>
  <c r="L293" i="5"/>
  <c r="N293" i="5"/>
  <c r="O293" i="5"/>
  <c r="P293" i="5"/>
  <c r="N294" i="5"/>
  <c r="O294" i="5"/>
  <c r="M296" i="5"/>
  <c r="O296" i="5"/>
  <c r="P296" i="5"/>
  <c r="L297" i="5"/>
  <c r="O297" i="5"/>
  <c r="P297" i="5"/>
  <c r="P299" i="5"/>
  <c r="L300" i="5"/>
  <c r="P300" i="5"/>
  <c r="L301" i="5"/>
  <c r="O301" i="5"/>
  <c r="P301" i="5"/>
  <c r="M303" i="5"/>
  <c r="L304" i="5"/>
  <c r="M304" i="5"/>
  <c r="P304" i="5"/>
  <c r="L305" i="5"/>
  <c r="N305" i="5"/>
  <c r="P305" i="5"/>
  <c r="N306" i="5"/>
  <c r="M307" i="5"/>
  <c r="L308" i="5"/>
  <c r="M308" i="5"/>
  <c r="O308" i="5"/>
  <c r="L309" i="5"/>
  <c r="O309" i="5"/>
  <c r="P309" i="5"/>
  <c r="O310" i="5"/>
  <c r="N311" i="5"/>
  <c r="P311" i="5"/>
  <c r="P4" i="5"/>
  <c r="L4" i="5"/>
  <c r="M3" i="5"/>
  <c r="N3" i="5"/>
  <c r="O3" i="5"/>
  <c r="P3" i="5"/>
  <c r="L3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4" i="5"/>
  <c r="O4" i="5" s="1"/>
  <c r="G5" i="5"/>
  <c r="H5" i="5"/>
  <c r="I5" i="5"/>
  <c r="J5" i="5"/>
  <c r="K5" i="5"/>
  <c r="G6" i="5"/>
  <c r="H6" i="5"/>
  <c r="I6" i="5"/>
  <c r="J6" i="5"/>
  <c r="K6" i="5"/>
  <c r="G7" i="5"/>
  <c r="H7" i="5"/>
  <c r="I7" i="5"/>
  <c r="J7" i="5"/>
  <c r="K7" i="5"/>
  <c r="G8" i="5"/>
  <c r="H8" i="5"/>
  <c r="I8" i="5"/>
  <c r="J8" i="5"/>
  <c r="K8" i="5"/>
  <c r="G9" i="5"/>
  <c r="H9" i="5"/>
  <c r="M9" i="5" s="1"/>
  <c r="I9" i="5"/>
  <c r="N9" i="5" s="1"/>
  <c r="J9" i="5"/>
  <c r="K9" i="5"/>
  <c r="G10" i="5"/>
  <c r="H10" i="5"/>
  <c r="I10" i="5"/>
  <c r="J10" i="5"/>
  <c r="K10" i="5"/>
  <c r="G11" i="5"/>
  <c r="H11" i="5"/>
  <c r="I11" i="5"/>
  <c r="J11" i="5"/>
  <c r="K11" i="5"/>
  <c r="G12" i="5"/>
  <c r="H12" i="5"/>
  <c r="I12" i="5"/>
  <c r="J12" i="5"/>
  <c r="K12" i="5"/>
  <c r="G13" i="5"/>
  <c r="H13" i="5"/>
  <c r="I13" i="5"/>
  <c r="J13" i="5"/>
  <c r="K13" i="5"/>
  <c r="G14" i="5"/>
  <c r="H14" i="5"/>
  <c r="I14" i="5"/>
  <c r="J14" i="5"/>
  <c r="K14" i="5"/>
  <c r="G15" i="5"/>
  <c r="H15" i="5"/>
  <c r="I15" i="5"/>
  <c r="J15" i="5"/>
  <c r="K15" i="5"/>
  <c r="G16" i="5"/>
  <c r="H16" i="5"/>
  <c r="I16" i="5"/>
  <c r="J16" i="5"/>
  <c r="O16" i="5" s="1"/>
  <c r="K16" i="5"/>
  <c r="G17" i="5"/>
  <c r="H17" i="5"/>
  <c r="I17" i="5"/>
  <c r="J17" i="5"/>
  <c r="K17" i="5"/>
  <c r="G18" i="5"/>
  <c r="H18" i="5"/>
  <c r="I18" i="5"/>
  <c r="J18" i="5"/>
  <c r="K18" i="5"/>
  <c r="G19" i="5"/>
  <c r="H19" i="5"/>
  <c r="I19" i="5"/>
  <c r="J19" i="5"/>
  <c r="K19" i="5"/>
  <c r="G20" i="5"/>
  <c r="H20" i="5"/>
  <c r="I20" i="5"/>
  <c r="J20" i="5"/>
  <c r="K20" i="5"/>
  <c r="G21" i="5"/>
  <c r="H21" i="5"/>
  <c r="I21" i="5"/>
  <c r="J21" i="5"/>
  <c r="K21" i="5"/>
  <c r="G22" i="5"/>
  <c r="H22" i="5"/>
  <c r="I22" i="5"/>
  <c r="J22" i="5"/>
  <c r="K22" i="5"/>
  <c r="G23" i="5"/>
  <c r="H23" i="5"/>
  <c r="I23" i="5"/>
  <c r="J23" i="5"/>
  <c r="K23" i="5"/>
  <c r="G24" i="5"/>
  <c r="H24" i="5"/>
  <c r="I24" i="5"/>
  <c r="J24" i="5"/>
  <c r="K24" i="5"/>
  <c r="G25" i="5"/>
  <c r="H25" i="5"/>
  <c r="I25" i="5"/>
  <c r="J25" i="5"/>
  <c r="K25" i="5"/>
  <c r="G26" i="5"/>
  <c r="H26" i="5"/>
  <c r="I26" i="5"/>
  <c r="J26" i="5"/>
  <c r="K26" i="5"/>
  <c r="G27" i="5"/>
  <c r="H27" i="5"/>
  <c r="I27" i="5"/>
  <c r="J27" i="5"/>
  <c r="K27" i="5"/>
  <c r="G28" i="5"/>
  <c r="H28" i="5"/>
  <c r="I28" i="5"/>
  <c r="J28" i="5"/>
  <c r="K28" i="5"/>
  <c r="G29" i="5"/>
  <c r="H29" i="5"/>
  <c r="I29" i="5"/>
  <c r="N29" i="5" s="1"/>
  <c r="J29" i="5"/>
  <c r="K29" i="5"/>
  <c r="G30" i="5"/>
  <c r="H30" i="5"/>
  <c r="I30" i="5"/>
  <c r="J30" i="5"/>
  <c r="K30" i="5"/>
  <c r="G31" i="5"/>
  <c r="H31" i="5"/>
  <c r="I31" i="5"/>
  <c r="J31" i="5"/>
  <c r="K31" i="5"/>
  <c r="G32" i="5"/>
  <c r="H32" i="5"/>
  <c r="I32" i="5"/>
  <c r="J32" i="5"/>
  <c r="K32" i="5"/>
  <c r="G33" i="5"/>
  <c r="H33" i="5"/>
  <c r="M33" i="5" s="1"/>
  <c r="I33" i="5"/>
  <c r="J33" i="5"/>
  <c r="K33" i="5"/>
  <c r="G34" i="5"/>
  <c r="H34" i="5"/>
  <c r="I34" i="5"/>
  <c r="J34" i="5"/>
  <c r="K34" i="5"/>
  <c r="G35" i="5"/>
  <c r="H35" i="5"/>
  <c r="I35" i="5"/>
  <c r="J35" i="5"/>
  <c r="K35" i="5"/>
  <c r="G36" i="5"/>
  <c r="H36" i="5"/>
  <c r="I36" i="5"/>
  <c r="J36" i="5"/>
  <c r="K36" i="5"/>
  <c r="G37" i="5"/>
  <c r="H37" i="5"/>
  <c r="M37" i="5" s="1"/>
  <c r="I37" i="5"/>
  <c r="J37" i="5"/>
  <c r="K37" i="5"/>
  <c r="G38" i="5"/>
  <c r="H38" i="5"/>
  <c r="I38" i="5"/>
  <c r="J38" i="5"/>
  <c r="K38" i="5"/>
  <c r="G39" i="5"/>
  <c r="H39" i="5"/>
  <c r="I39" i="5"/>
  <c r="J39" i="5"/>
  <c r="K39" i="5"/>
  <c r="G40" i="5"/>
  <c r="H40" i="5"/>
  <c r="I40" i="5"/>
  <c r="J40" i="5"/>
  <c r="K40" i="5"/>
  <c r="G41" i="5"/>
  <c r="H41" i="5"/>
  <c r="I41" i="5"/>
  <c r="J41" i="5"/>
  <c r="O41" i="5" s="1"/>
  <c r="K41" i="5"/>
  <c r="G42" i="5"/>
  <c r="H42" i="5"/>
  <c r="I42" i="5"/>
  <c r="J42" i="5"/>
  <c r="K42" i="5"/>
  <c r="G43" i="5"/>
  <c r="H43" i="5"/>
  <c r="I43" i="5"/>
  <c r="J43" i="5"/>
  <c r="K43" i="5"/>
  <c r="G44" i="5"/>
  <c r="H44" i="5"/>
  <c r="I44" i="5"/>
  <c r="J44" i="5"/>
  <c r="K44" i="5"/>
  <c r="G45" i="5"/>
  <c r="H45" i="5"/>
  <c r="I45" i="5"/>
  <c r="J45" i="5"/>
  <c r="K45" i="5"/>
  <c r="G46" i="5"/>
  <c r="H46" i="5"/>
  <c r="I46" i="5"/>
  <c r="J46" i="5"/>
  <c r="K46" i="5"/>
  <c r="G47" i="5"/>
  <c r="H47" i="5"/>
  <c r="I47" i="5"/>
  <c r="J47" i="5"/>
  <c r="K47" i="5"/>
  <c r="G48" i="5"/>
  <c r="H48" i="5"/>
  <c r="I48" i="5"/>
  <c r="J48" i="5"/>
  <c r="K48" i="5"/>
  <c r="G49" i="5"/>
  <c r="H49" i="5"/>
  <c r="M49" i="5" s="1"/>
  <c r="I49" i="5"/>
  <c r="J49" i="5"/>
  <c r="K49" i="5"/>
  <c r="G50" i="5"/>
  <c r="H50" i="5"/>
  <c r="I50" i="5"/>
  <c r="J50" i="5"/>
  <c r="K50" i="5"/>
  <c r="G51" i="5"/>
  <c r="H51" i="5"/>
  <c r="I51" i="5"/>
  <c r="J51" i="5"/>
  <c r="K51" i="5"/>
  <c r="G52" i="5"/>
  <c r="H52" i="5"/>
  <c r="I52" i="5"/>
  <c r="J52" i="5"/>
  <c r="K52" i="5"/>
  <c r="G53" i="5"/>
  <c r="H53" i="5"/>
  <c r="M53" i="5" s="1"/>
  <c r="I53" i="5"/>
  <c r="J53" i="5"/>
  <c r="K53" i="5"/>
  <c r="G54" i="5"/>
  <c r="H54" i="5"/>
  <c r="I54" i="5"/>
  <c r="J54" i="5"/>
  <c r="K54" i="5"/>
  <c r="G55" i="5"/>
  <c r="H55" i="5"/>
  <c r="I55" i="5"/>
  <c r="J55" i="5"/>
  <c r="K55" i="5"/>
  <c r="G56" i="5"/>
  <c r="H56" i="5"/>
  <c r="I56" i="5"/>
  <c r="J56" i="5"/>
  <c r="K56" i="5"/>
  <c r="G57" i="5"/>
  <c r="H57" i="5"/>
  <c r="M57" i="5" s="1"/>
  <c r="I57" i="5"/>
  <c r="J57" i="5"/>
  <c r="K57" i="5"/>
  <c r="G58" i="5"/>
  <c r="H58" i="5"/>
  <c r="I58" i="5"/>
  <c r="J58" i="5"/>
  <c r="K58" i="5"/>
  <c r="G59" i="5"/>
  <c r="H59" i="5"/>
  <c r="I59" i="5"/>
  <c r="J59" i="5"/>
  <c r="K59" i="5"/>
  <c r="G60" i="5"/>
  <c r="H60" i="5"/>
  <c r="I60" i="5"/>
  <c r="J60" i="5"/>
  <c r="K60" i="5"/>
  <c r="G61" i="5"/>
  <c r="H61" i="5"/>
  <c r="I61" i="5"/>
  <c r="J61" i="5"/>
  <c r="K61" i="5"/>
  <c r="G62" i="5"/>
  <c r="H62" i="5"/>
  <c r="I62" i="5"/>
  <c r="J62" i="5"/>
  <c r="K62" i="5"/>
  <c r="G63" i="5"/>
  <c r="H63" i="5"/>
  <c r="I63" i="5"/>
  <c r="J63" i="5"/>
  <c r="K63" i="5"/>
  <c r="G64" i="5"/>
  <c r="H64" i="5"/>
  <c r="I64" i="5"/>
  <c r="J64" i="5"/>
  <c r="K64" i="5"/>
  <c r="G65" i="5"/>
  <c r="H65" i="5"/>
  <c r="I65" i="5"/>
  <c r="J65" i="5"/>
  <c r="O65" i="5" s="1"/>
  <c r="K65" i="5"/>
  <c r="G66" i="5"/>
  <c r="H66" i="5"/>
  <c r="I66" i="5"/>
  <c r="J66" i="5"/>
  <c r="K66" i="5"/>
  <c r="G67" i="5"/>
  <c r="H67" i="5"/>
  <c r="I67" i="5"/>
  <c r="J67" i="5"/>
  <c r="K67" i="5"/>
  <c r="G68" i="5"/>
  <c r="H68" i="5"/>
  <c r="I68" i="5"/>
  <c r="J68" i="5"/>
  <c r="K68" i="5"/>
  <c r="G69" i="5"/>
  <c r="H69" i="5"/>
  <c r="I69" i="5"/>
  <c r="J69" i="5"/>
  <c r="K69" i="5"/>
  <c r="G70" i="5"/>
  <c r="H70" i="5"/>
  <c r="I70" i="5"/>
  <c r="J70" i="5"/>
  <c r="K70" i="5"/>
  <c r="G71" i="5"/>
  <c r="H71" i="5"/>
  <c r="I71" i="5"/>
  <c r="J71" i="5"/>
  <c r="K71" i="5"/>
  <c r="G72" i="5"/>
  <c r="H72" i="5"/>
  <c r="I72" i="5"/>
  <c r="J72" i="5"/>
  <c r="K72" i="5"/>
  <c r="G73" i="5"/>
  <c r="H73" i="5"/>
  <c r="M73" i="5" s="1"/>
  <c r="I73" i="5"/>
  <c r="J73" i="5"/>
  <c r="K73" i="5"/>
  <c r="G74" i="5"/>
  <c r="H74" i="5"/>
  <c r="I74" i="5"/>
  <c r="J74" i="5"/>
  <c r="K74" i="5"/>
  <c r="G75" i="5"/>
  <c r="H75" i="5"/>
  <c r="I75" i="5"/>
  <c r="J75" i="5"/>
  <c r="K75" i="5"/>
  <c r="G76" i="5"/>
  <c r="H76" i="5"/>
  <c r="I76" i="5"/>
  <c r="J76" i="5"/>
  <c r="K76" i="5"/>
  <c r="G77" i="5"/>
  <c r="H77" i="5"/>
  <c r="M77" i="5" s="1"/>
  <c r="I77" i="5"/>
  <c r="J77" i="5"/>
  <c r="K77" i="5"/>
  <c r="G78" i="5"/>
  <c r="H78" i="5"/>
  <c r="I78" i="5"/>
  <c r="J78" i="5"/>
  <c r="K78" i="5"/>
  <c r="G79" i="5"/>
  <c r="H79" i="5"/>
  <c r="I79" i="5"/>
  <c r="J79" i="5"/>
  <c r="K79" i="5"/>
  <c r="G80" i="5"/>
  <c r="H80" i="5"/>
  <c r="I80" i="5"/>
  <c r="N80" i="5" s="1"/>
  <c r="J80" i="5"/>
  <c r="O80" i="5" s="1"/>
  <c r="K80" i="5"/>
  <c r="G81" i="5"/>
  <c r="H81" i="5"/>
  <c r="I81" i="5"/>
  <c r="J81" i="5"/>
  <c r="K81" i="5"/>
  <c r="G82" i="5"/>
  <c r="H82" i="5"/>
  <c r="I82" i="5"/>
  <c r="J82" i="5"/>
  <c r="K82" i="5"/>
  <c r="G83" i="5"/>
  <c r="H83" i="5"/>
  <c r="I83" i="5"/>
  <c r="J83" i="5"/>
  <c r="K83" i="5"/>
  <c r="G84" i="5"/>
  <c r="H84" i="5"/>
  <c r="I84" i="5"/>
  <c r="J84" i="5"/>
  <c r="K84" i="5"/>
  <c r="G85" i="5"/>
  <c r="H85" i="5"/>
  <c r="I85" i="5"/>
  <c r="J85" i="5"/>
  <c r="K85" i="5"/>
  <c r="G86" i="5"/>
  <c r="H86" i="5"/>
  <c r="I86" i="5"/>
  <c r="J86" i="5"/>
  <c r="K86" i="5"/>
  <c r="G87" i="5"/>
  <c r="H87" i="5"/>
  <c r="I87" i="5"/>
  <c r="J87" i="5"/>
  <c r="K87" i="5"/>
  <c r="G88" i="5"/>
  <c r="H88" i="5"/>
  <c r="I88" i="5"/>
  <c r="J88" i="5"/>
  <c r="K88" i="5"/>
  <c r="G89" i="5"/>
  <c r="H89" i="5"/>
  <c r="I89" i="5"/>
  <c r="J89" i="5"/>
  <c r="K89" i="5"/>
  <c r="G90" i="5"/>
  <c r="H90" i="5"/>
  <c r="I90" i="5"/>
  <c r="J90" i="5"/>
  <c r="K90" i="5"/>
  <c r="G91" i="5"/>
  <c r="H91" i="5"/>
  <c r="I91" i="5"/>
  <c r="J91" i="5"/>
  <c r="K91" i="5"/>
  <c r="G92" i="5"/>
  <c r="H92" i="5"/>
  <c r="I92" i="5"/>
  <c r="J92" i="5"/>
  <c r="K92" i="5"/>
  <c r="G93" i="5"/>
  <c r="H93" i="5"/>
  <c r="I93" i="5"/>
  <c r="J93" i="5"/>
  <c r="K93" i="5"/>
  <c r="G94" i="5"/>
  <c r="H94" i="5"/>
  <c r="I94" i="5"/>
  <c r="J94" i="5"/>
  <c r="K94" i="5"/>
  <c r="G95" i="5"/>
  <c r="H95" i="5"/>
  <c r="I95" i="5"/>
  <c r="J95" i="5"/>
  <c r="K95" i="5"/>
  <c r="G96" i="5"/>
  <c r="H96" i="5"/>
  <c r="I96" i="5"/>
  <c r="J96" i="5"/>
  <c r="O96" i="5" s="1"/>
  <c r="K96" i="5"/>
  <c r="G97" i="5"/>
  <c r="H97" i="5"/>
  <c r="I97" i="5"/>
  <c r="N97" i="5" s="1"/>
  <c r="J97" i="5"/>
  <c r="K97" i="5"/>
  <c r="G98" i="5"/>
  <c r="H98" i="5"/>
  <c r="I98" i="5"/>
  <c r="J98" i="5"/>
  <c r="K98" i="5"/>
  <c r="G99" i="5"/>
  <c r="H99" i="5"/>
  <c r="I99" i="5"/>
  <c r="J99" i="5"/>
  <c r="K99" i="5"/>
  <c r="G100" i="5"/>
  <c r="H100" i="5"/>
  <c r="I100" i="5"/>
  <c r="J100" i="5"/>
  <c r="K100" i="5"/>
  <c r="G101" i="5"/>
  <c r="H101" i="5"/>
  <c r="M101" i="5" s="1"/>
  <c r="I101" i="5"/>
  <c r="J101" i="5"/>
  <c r="K101" i="5"/>
  <c r="G102" i="5"/>
  <c r="H102" i="5"/>
  <c r="M102" i="5" s="1"/>
  <c r="I102" i="5"/>
  <c r="J102" i="5"/>
  <c r="K102" i="5"/>
  <c r="G103" i="5"/>
  <c r="H103" i="5"/>
  <c r="I103" i="5"/>
  <c r="J103" i="5"/>
  <c r="K103" i="5"/>
  <c r="G104" i="5"/>
  <c r="H104" i="5"/>
  <c r="I104" i="5"/>
  <c r="J104" i="5"/>
  <c r="K104" i="5"/>
  <c r="G105" i="5"/>
  <c r="H105" i="5"/>
  <c r="M105" i="5" s="1"/>
  <c r="I105" i="5"/>
  <c r="N105" i="5" s="1"/>
  <c r="J105" i="5"/>
  <c r="K105" i="5"/>
  <c r="G106" i="5"/>
  <c r="H106" i="5"/>
  <c r="I106" i="5"/>
  <c r="J106" i="5"/>
  <c r="K106" i="5"/>
  <c r="G107" i="5"/>
  <c r="H107" i="5"/>
  <c r="I107" i="5"/>
  <c r="J107" i="5"/>
  <c r="K107" i="5"/>
  <c r="G108" i="5"/>
  <c r="H108" i="5"/>
  <c r="I108" i="5"/>
  <c r="J108" i="5"/>
  <c r="K108" i="5"/>
  <c r="G109" i="5"/>
  <c r="H109" i="5"/>
  <c r="I109" i="5"/>
  <c r="J109" i="5"/>
  <c r="K109" i="5"/>
  <c r="G110" i="5"/>
  <c r="H110" i="5"/>
  <c r="I110" i="5"/>
  <c r="J110" i="5"/>
  <c r="K110" i="5"/>
  <c r="G111" i="5"/>
  <c r="H111" i="5"/>
  <c r="I111" i="5"/>
  <c r="J111" i="5"/>
  <c r="K111" i="5"/>
  <c r="G112" i="5"/>
  <c r="H112" i="5"/>
  <c r="I112" i="5"/>
  <c r="J112" i="5"/>
  <c r="K112" i="5"/>
  <c r="G113" i="5"/>
  <c r="H113" i="5"/>
  <c r="I113" i="5"/>
  <c r="N113" i="5" s="1"/>
  <c r="J113" i="5"/>
  <c r="K113" i="5"/>
  <c r="G114" i="5"/>
  <c r="H114" i="5"/>
  <c r="I114" i="5"/>
  <c r="J114" i="5"/>
  <c r="K114" i="5"/>
  <c r="G115" i="5"/>
  <c r="H115" i="5"/>
  <c r="I115" i="5"/>
  <c r="J115" i="5"/>
  <c r="K115" i="5"/>
  <c r="G116" i="5"/>
  <c r="H116" i="5"/>
  <c r="I116" i="5"/>
  <c r="J116" i="5"/>
  <c r="K116" i="5"/>
  <c r="G117" i="5"/>
  <c r="H117" i="5"/>
  <c r="I117" i="5"/>
  <c r="J117" i="5"/>
  <c r="O117" i="5" s="1"/>
  <c r="K117" i="5"/>
  <c r="G118" i="5"/>
  <c r="H118" i="5"/>
  <c r="I118" i="5"/>
  <c r="J118" i="5"/>
  <c r="K118" i="5"/>
  <c r="G119" i="5"/>
  <c r="H119" i="5"/>
  <c r="I119" i="5"/>
  <c r="J119" i="5"/>
  <c r="K119" i="5"/>
  <c r="G120" i="5"/>
  <c r="H120" i="5"/>
  <c r="I120" i="5"/>
  <c r="J120" i="5"/>
  <c r="K120" i="5"/>
  <c r="G121" i="5"/>
  <c r="H121" i="5"/>
  <c r="I121" i="5"/>
  <c r="J121" i="5"/>
  <c r="K121" i="5"/>
  <c r="G122" i="5"/>
  <c r="H122" i="5"/>
  <c r="I122" i="5"/>
  <c r="J122" i="5"/>
  <c r="K122" i="5"/>
  <c r="G123" i="5"/>
  <c r="H123" i="5"/>
  <c r="I123" i="5"/>
  <c r="J123" i="5"/>
  <c r="K123" i="5"/>
  <c r="G124" i="5"/>
  <c r="H124" i="5"/>
  <c r="I124" i="5"/>
  <c r="J124" i="5"/>
  <c r="K124" i="5"/>
  <c r="G125" i="5"/>
  <c r="H125" i="5"/>
  <c r="I125" i="5"/>
  <c r="N125" i="5" s="1"/>
  <c r="J125" i="5"/>
  <c r="K125" i="5"/>
  <c r="G126" i="5"/>
  <c r="H126" i="5"/>
  <c r="I126" i="5"/>
  <c r="J126" i="5"/>
  <c r="K126" i="5"/>
  <c r="G127" i="5"/>
  <c r="H127" i="5"/>
  <c r="I127" i="5"/>
  <c r="J127" i="5"/>
  <c r="K127" i="5"/>
  <c r="G128" i="5"/>
  <c r="H128" i="5"/>
  <c r="I128" i="5"/>
  <c r="J128" i="5"/>
  <c r="K128" i="5"/>
  <c r="G129" i="5"/>
  <c r="H129" i="5"/>
  <c r="I129" i="5"/>
  <c r="J129" i="5"/>
  <c r="O129" i="5" s="1"/>
  <c r="K129" i="5"/>
  <c r="G130" i="5"/>
  <c r="H130" i="5"/>
  <c r="I130" i="5"/>
  <c r="J130" i="5"/>
  <c r="K130" i="5"/>
  <c r="G131" i="5"/>
  <c r="H131" i="5"/>
  <c r="I131" i="5"/>
  <c r="J131" i="5"/>
  <c r="K131" i="5"/>
  <c r="G132" i="5"/>
  <c r="H132" i="5"/>
  <c r="I132" i="5"/>
  <c r="J132" i="5"/>
  <c r="K132" i="5"/>
  <c r="G133" i="5"/>
  <c r="H133" i="5"/>
  <c r="I133" i="5"/>
  <c r="J133" i="5"/>
  <c r="K133" i="5"/>
  <c r="G134" i="5"/>
  <c r="H134" i="5"/>
  <c r="I134" i="5"/>
  <c r="J134" i="5"/>
  <c r="K134" i="5"/>
  <c r="G135" i="5"/>
  <c r="H135" i="5"/>
  <c r="I135" i="5"/>
  <c r="J135" i="5"/>
  <c r="K135" i="5"/>
  <c r="G136" i="5"/>
  <c r="H136" i="5"/>
  <c r="I136" i="5"/>
  <c r="J136" i="5"/>
  <c r="K136" i="5"/>
  <c r="G137" i="5"/>
  <c r="H137" i="5"/>
  <c r="I137" i="5"/>
  <c r="J137" i="5"/>
  <c r="K137" i="5"/>
  <c r="G138" i="5"/>
  <c r="H138" i="5"/>
  <c r="I138" i="5"/>
  <c r="J138" i="5"/>
  <c r="K138" i="5"/>
  <c r="G139" i="5"/>
  <c r="H139" i="5"/>
  <c r="I139" i="5"/>
  <c r="J139" i="5"/>
  <c r="K139" i="5"/>
  <c r="G140" i="5"/>
  <c r="H140" i="5"/>
  <c r="I140" i="5"/>
  <c r="J140" i="5"/>
  <c r="K140" i="5"/>
  <c r="G141" i="5"/>
  <c r="H141" i="5"/>
  <c r="I141" i="5"/>
  <c r="N141" i="5" s="1"/>
  <c r="J141" i="5"/>
  <c r="K141" i="5"/>
  <c r="G142" i="5"/>
  <c r="H142" i="5"/>
  <c r="I142" i="5"/>
  <c r="J142" i="5"/>
  <c r="K142" i="5"/>
  <c r="G143" i="5"/>
  <c r="H143" i="5"/>
  <c r="I143" i="5"/>
  <c r="J143" i="5"/>
  <c r="K143" i="5"/>
  <c r="G144" i="5"/>
  <c r="H144" i="5"/>
  <c r="I144" i="5"/>
  <c r="J144" i="5"/>
  <c r="O144" i="5" s="1"/>
  <c r="K144" i="5"/>
  <c r="G145" i="5"/>
  <c r="H145" i="5"/>
  <c r="I145" i="5"/>
  <c r="N145" i="5" s="1"/>
  <c r="J145" i="5"/>
  <c r="K145" i="5"/>
  <c r="G146" i="5"/>
  <c r="H146" i="5"/>
  <c r="I146" i="5"/>
  <c r="J146" i="5"/>
  <c r="K146" i="5"/>
  <c r="G147" i="5"/>
  <c r="H147" i="5"/>
  <c r="I147" i="5"/>
  <c r="J147" i="5"/>
  <c r="K147" i="5"/>
  <c r="G148" i="5"/>
  <c r="H148" i="5"/>
  <c r="I148" i="5"/>
  <c r="J148" i="5"/>
  <c r="O148" i="5" s="1"/>
  <c r="K148" i="5"/>
  <c r="G149" i="5"/>
  <c r="H149" i="5"/>
  <c r="I149" i="5"/>
  <c r="J149" i="5"/>
  <c r="O149" i="5" s="1"/>
  <c r="K149" i="5"/>
  <c r="G150" i="5"/>
  <c r="H150" i="5"/>
  <c r="I150" i="5"/>
  <c r="J150" i="5"/>
  <c r="K150" i="5"/>
  <c r="G151" i="5"/>
  <c r="H151" i="5"/>
  <c r="I151" i="5"/>
  <c r="J151" i="5"/>
  <c r="K151" i="5"/>
  <c r="G152" i="5"/>
  <c r="H152" i="5"/>
  <c r="I152" i="5"/>
  <c r="J152" i="5"/>
  <c r="K152" i="5"/>
  <c r="G153" i="5"/>
  <c r="H153" i="5"/>
  <c r="I153" i="5"/>
  <c r="J153" i="5"/>
  <c r="K153" i="5"/>
  <c r="G154" i="5"/>
  <c r="H154" i="5"/>
  <c r="M154" i="5" s="1"/>
  <c r="I154" i="5"/>
  <c r="J154" i="5"/>
  <c r="K154" i="5"/>
  <c r="G155" i="5"/>
  <c r="H155" i="5"/>
  <c r="I155" i="5"/>
  <c r="J155" i="5"/>
  <c r="K155" i="5"/>
  <c r="G156" i="5"/>
  <c r="H156" i="5"/>
  <c r="I156" i="5"/>
  <c r="J156" i="5"/>
  <c r="K156" i="5"/>
  <c r="G157" i="5"/>
  <c r="H157" i="5"/>
  <c r="I157" i="5"/>
  <c r="N157" i="5" s="1"/>
  <c r="J157" i="5"/>
  <c r="K157" i="5"/>
  <c r="G158" i="5"/>
  <c r="H158" i="5"/>
  <c r="I158" i="5"/>
  <c r="J158" i="5"/>
  <c r="K158" i="5"/>
  <c r="G159" i="5"/>
  <c r="H159" i="5"/>
  <c r="I159" i="5"/>
  <c r="J159" i="5"/>
  <c r="K159" i="5"/>
  <c r="G160" i="5"/>
  <c r="H160" i="5"/>
  <c r="I160" i="5"/>
  <c r="J160" i="5"/>
  <c r="K160" i="5"/>
  <c r="G161" i="5"/>
  <c r="H161" i="5"/>
  <c r="I161" i="5"/>
  <c r="N161" i="5" s="1"/>
  <c r="J161" i="5"/>
  <c r="K161" i="5"/>
  <c r="G162" i="5"/>
  <c r="H162" i="5"/>
  <c r="I162" i="5"/>
  <c r="J162" i="5"/>
  <c r="K162" i="5"/>
  <c r="G163" i="5"/>
  <c r="H163" i="5"/>
  <c r="I163" i="5"/>
  <c r="J163" i="5"/>
  <c r="K163" i="5"/>
  <c r="G164" i="5"/>
  <c r="H164" i="5"/>
  <c r="I164" i="5"/>
  <c r="J164" i="5"/>
  <c r="O164" i="5" s="1"/>
  <c r="K164" i="5"/>
  <c r="G165" i="5"/>
  <c r="H165" i="5"/>
  <c r="I165" i="5"/>
  <c r="N165" i="5" s="1"/>
  <c r="J165" i="5"/>
  <c r="O165" i="5" s="1"/>
  <c r="K165" i="5"/>
  <c r="G166" i="5"/>
  <c r="H166" i="5"/>
  <c r="I166" i="5"/>
  <c r="J166" i="5"/>
  <c r="K166" i="5"/>
  <c r="G167" i="5"/>
  <c r="H167" i="5"/>
  <c r="I167" i="5"/>
  <c r="J167" i="5"/>
  <c r="K167" i="5"/>
  <c r="G168" i="5"/>
  <c r="H168" i="5"/>
  <c r="I168" i="5"/>
  <c r="J168" i="5"/>
  <c r="K168" i="5"/>
  <c r="G169" i="5"/>
  <c r="H169" i="5"/>
  <c r="I169" i="5"/>
  <c r="J169" i="5"/>
  <c r="O169" i="5" s="1"/>
  <c r="K169" i="5"/>
  <c r="G170" i="5"/>
  <c r="H170" i="5"/>
  <c r="M170" i="5" s="1"/>
  <c r="I170" i="5"/>
  <c r="J170" i="5"/>
  <c r="K170" i="5"/>
  <c r="G171" i="5"/>
  <c r="H171" i="5"/>
  <c r="I171" i="5"/>
  <c r="J171" i="5"/>
  <c r="K171" i="5"/>
  <c r="G172" i="5"/>
  <c r="H172" i="5"/>
  <c r="I172" i="5"/>
  <c r="J172" i="5"/>
  <c r="K172" i="5"/>
  <c r="G173" i="5"/>
  <c r="H173" i="5"/>
  <c r="I173" i="5"/>
  <c r="J173" i="5"/>
  <c r="K173" i="5"/>
  <c r="G174" i="5"/>
  <c r="H174" i="5"/>
  <c r="I174" i="5"/>
  <c r="J174" i="5"/>
  <c r="K174" i="5"/>
  <c r="G175" i="5"/>
  <c r="H175" i="5"/>
  <c r="I175" i="5"/>
  <c r="J175" i="5"/>
  <c r="K175" i="5"/>
  <c r="G176" i="5"/>
  <c r="H176" i="5"/>
  <c r="I176" i="5"/>
  <c r="J176" i="5"/>
  <c r="K176" i="5"/>
  <c r="G177" i="5"/>
  <c r="H177" i="5"/>
  <c r="I177" i="5"/>
  <c r="N177" i="5" s="1"/>
  <c r="J177" i="5"/>
  <c r="K177" i="5"/>
  <c r="G178" i="5"/>
  <c r="H178" i="5"/>
  <c r="I178" i="5"/>
  <c r="J178" i="5"/>
  <c r="K178" i="5"/>
  <c r="G179" i="5"/>
  <c r="H179" i="5"/>
  <c r="I179" i="5"/>
  <c r="J179" i="5"/>
  <c r="K179" i="5"/>
  <c r="G180" i="5"/>
  <c r="H180" i="5"/>
  <c r="I180" i="5"/>
  <c r="J180" i="5"/>
  <c r="K180" i="5"/>
  <c r="G181" i="5"/>
  <c r="H181" i="5"/>
  <c r="I181" i="5"/>
  <c r="N181" i="5" s="1"/>
  <c r="J181" i="5"/>
  <c r="O181" i="5" s="1"/>
  <c r="K181" i="5"/>
  <c r="G182" i="5"/>
  <c r="H182" i="5"/>
  <c r="I182" i="5"/>
  <c r="J182" i="5"/>
  <c r="K182" i="5"/>
  <c r="G183" i="5"/>
  <c r="H183" i="5"/>
  <c r="I183" i="5"/>
  <c r="J183" i="5"/>
  <c r="K183" i="5"/>
  <c r="G184" i="5"/>
  <c r="H184" i="5"/>
  <c r="I184" i="5"/>
  <c r="J184" i="5"/>
  <c r="O184" i="5" s="1"/>
  <c r="K184" i="5"/>
  <c r="G185" i="5"/>
  <c r="H185" i="5"/>
  <c r="I185" i="5"/>
  <c r="J185" i="5"/>
  <c r="O185" i="5" s="1"/>
  <c r="K185" i="5"/>
  <c r="G186" i="5"/>
  <c r="H186" i="5"/>
  <c r="I186" i="5"/>
  <c r="J186" i="5"/>
  <c r="K186" i="5"/>
  <c r="G187" i="5"/>
  <c r="H187" i="5"/>
  <c r="I187" i="5"/>
  <c r="J187" i="5"/>
  <c r="K187" i="5"/>
  <c r="G188" i="5"/>
  <c r="H188" i="5"/>
  <c r="I188" i="5"/>
  <c r="J188" i="5"/>
  <c r="K188" i="5"/>
  <c r="G189" i="5"/>
  <c r="H189" i="5"/>
  <c r="I189" i="5"/>
  <c r="N189" i="5" s="1"/>
  <c r="J189" i="5"/>
  <c r="K189" i="5"/>
  <c r="G190" i="5"/>
  <c r="H190" i="5"/>
  <c r="I190" i="5"/>
  <c r="J190" i="5"/>
  <c r="K190" i="5"/>
  <c r="G191" i="5"/>
  <c r="H191" i="5"/>
  <c r="I191" i="5"/>
  <c r="J191" i="5"/>
  <c r="K191" i="5"/>
  <c r="G192" i="5"/>
  <c r="H192" i="5"/>
  <c r="I192" i="5"/>
  <c r="J192" i="5"/>
  <c r="K192" i="5"/>
  <c r="G193" i="5"/>
  <c r="H193" i="5"/>
  <c r="M193" i="5" s="1"/>
  <c r="I193" i="5"/>
  <c r="J193" i="5"/>
  <c r="K193" i="5"/>
  <c r="G194" i="5"/>
  <c r="H194" i="5"/>
  <c r="I194" i="5"/>
  <c r="J194" i="5"/>
  <c r="K194" i="5"/>
  <c r="G195" i="5"/>
  <c r="H195" i="5"/>
  <c r="I195" i="5"/>
  <c r="J195" i="5"/>
  <c r="K195" i="5"/>
  <c r="G196" i="5"/>
  <c r="H196" i="5"/>
  <c r="I196" i="5"/>
  <c r="N196" i="5" s="1"/>
  <c r="J196" i="5"/>
  <c r="K196" i="5"/>
  <c r="G197" i="5"/>
  <c r="H197" i="5"/>
  <c r="I197" i="5"/>
  <c r="J197" i="5"/>
  <c r="K197" i="5"/>
  <c r="G198" i="5"/>
  <c r="H198" i="5"/>
  <c r="I198" i="5"/>
  <c r="J198" i="5"/>
  <c r="K198" i="5"/>
  <c r="G199" i="5"/>
  <c r="H199" i="5"/>
  <c r="I199" i="5"/>
  <c r="J199" i="5"/>
  <c r="K199" i="5"/>
  <c r="G200" i="5"/>
  <c r="H200" i="5"/>
  <c r="I200" i="5"/>
  <c r="J200" i="5"/>
  <c r="K200" i="5"/>
  <c r="G201" i="5"/>
  <c r="H201" i="5"/>
  <c r="M201" i="5" s="1"/>
  <c r="I201" i="5"/>
  <c r="J201" i="5"/>
  <c r="K201" i="5"/>
  <c r="G202" i="5"/>
  <c r="H202" i="5"/>
  <c r="I202" i="5"/>
  <c r="J202" i="5"/>
  <c r="K202" i="5"/>
  <c r="G203" i="5"/>
  <c r="H203" i="5"/>
  <c r="I203" i="5"/>
  <c r="J203" i="5"/>
  <c r="K203" i="5"/>
  <c r="G204" i="5"/>
  <c r="H204" i="5"/>
  <c r="I204" i="5"/>
  <c r="N204" i="5" s="1"/>
  <c r="J204" i="5"/>
  <c r="K204" i="5"/>
  <c r="G205" i="5"/>
  <c r="H205" i="5"/>
  <c r="I205" i="5"/>
  <c r="J205" i="5"/>
  <c r="O205" i="5" s="1"/>
  <c r="K205" i="5"/>
  <c r="G206" i="5"/>
  <c r="H206" i="5"/>
  <c r="I206" i="5"/>
  <c r="J206" i="5"/>
  <c r="K206" i="5"/>
  <c r="G207" i="5"/>
  <c r="H207" i="5"/>
  <c r="I207" i="5"/>
  <c r="J207" i="5"/>
  <c r="K207" i="5"/>
  <c r="G208" i="5"/>
  <c r="H208" i="5"/>
  <c r="I208" i="5"/>
  <c r="J208" i="5"/>
  <c r="K208" i="5"/>
  <c r="G209" i="5"/>
  <c r="H209" i="5"/>
  <c r="M209" i="5" s="1"/>
  <c r="I209" i="5"/>
  <c r="J209" i="5"/>
  <c r="K209" i="5"/>
  <c r="G210" i="5"/>
  <c r="H210" i="5"/>
  <c r="I210" i="5"/>
  <c r="J210" i="5"/>
  <c r="K210" i="5"/>
  <c r="G211" i="5"/>
  <c r="H211" i="5"/>
  <c r="I211" i="5"/>
  <c r="J211" i="5"/>
  <c r="K211" i="5"/>
  <c r="G212" i="5"/>
  <c r="H212" i="5"/>
  <c r="I212" i="5"/>
  <c r="J212" i="5"/>
  <c r="K212" i="5"/>
  <c r="G213" i="5"/>
  <c r="H213" i="5"/>
  <c r="I213" i="5"/>
  <c r="J213" i="5"/>
  <c r="K213" i="5"/>
  <c r="G214" i="5"/>
  <c r="H214" i="5"/>
  <c r="I214" i="5"/>
  <c r="J214" i="5"/>
  <c r="K214" i="5"/>
  <c r="G215" i="5"/>
  <c r="H215" i="5"/>
  <c r="I215" i="5"/>
  <c r="J215" i="5"/>
  <c r="K215" i="5"/>
  <c r="G216" i="5"/>
  <c r="H216" i="5"/>
  <c r="I216" i="5"/>
  <c r="J216" i="5"/>
  <c r="K216" i="5"/>
  <c r="G217" i="5"/>
  <c r="H217" i="5"/>
  <c r="M217" i="5" s="1"/>
  <c r="I217" i="5"/>
  <c r="J217" i="5"/>
  <c r="K217" i="5"/>
  <c r="G218" i="5"/>
  <c r="H218" i="5"/>
  <c r="I218" i="5"/>
  <c r="J218" i="5"/>
  <c r="K218" i="5"/>
  <c r="G219" i="5"/>
  <c r="H219" i="5"/>
  <c r="I219" i="5"/>
  <c r="J219" i="5"/>
  <c r="K219" i="5"/>
  <c r="G220" i="5"/>
  <c r="H220" i="5"/>
  <c r="I220" i="5"/>
  <c r="N220" i="5" s="1"/>
  <c r="J220" i="5"/>
  <c r="K220" i="5"/>
  <c r="G221" i="5"/>
  <c r="H221" i="5"/>
  <c r="M221" i="5" s="1"/>
  <c r="I221" i="5"/>
  <c r="J221" i="5"/>
  <c r="K221" i="5"/>
  <c r="G222" i="5"/>
  <c r="H222" i="5"/>
  <c r="I222" i="5"/>
  <c r="J222" i="5"/>
  <c r="K222" i="5"/>
  <c r="G223" i="5"/>
  <c r="H223" i="5"/>
  <c r="I223" i="5"/>
  <c r="J223" i="5"/>
  <c r="K223" i="5"/>
  <c r="G224" i="5"/>
  <c r="H224" i="5"/>
  <c r="I224" i="5"/>
  <c r="N224" i="5" s="1"/>
  <c r="J224" i="5"/>
  <c r="K224" i="5"/>
  <c r="G225" i="5"/>
  <c r="H225" i="5"/>
  <c r="I225" i="5"/>
  <c r="J225" i="5"/>
  <c r="O225" i="5" s="1"/>
  <c r="K225" i="5"/>
  <c r="G226" i="5"/>
  <c r="H226" i="5"/>
  <c r="I226" i="5"/>
  <c r="J226" i="5"/>
  <c r="K226" i="5"/>
  <c r="G227" i="5"/>
  <c r="H227" i="5"/>
  <c r="I227" i="5"/>
  <c r="J227" i="5"/>
  <c r="K227" i="5"/>
  <c r="G228" i="5"/>
  <c r="H228" i="5"/>
  <c r="I228" i="5"/>
  <c r="J228" i="5"/>
  <c r="O228" i="5" s="1"/>
  <c r="K228" i="5"/>
  <c r="G229" i="5"/>
  <c r="H229" i="5"/>
  <c r="I229" i="5"/>
  <c r="J229" i="5"/>
  <c r="K229" i="5"/>
  <c r="G230" i="5"/>
  <c r="H230" i="5"/>
  <c r="I230" i="5"/>
  <c r="J230" i="5"/>
  <c r="K230" i="5"/>
  <c r="G231" i="5"/>
  <c r="H231" i="5"/>
  <c r="I231" i="5"/>
  <c r="J231" i="5"/>
  <c r="K231" i="5"/>
  <c r="G232" i="5"/>
  <c r="H232" i="5"/>
  <c r="I232" i="5"/>
  <c r="J232" i="5"/>
  <c r="K232" i="5"/>
  <c r="G233" i="5"/>
  <c r="H233" i="5"/>
  <c r="I233" i="5"/>
  <c r="N233" i="5" s="1"/>
  <c r="J233" i="5"/>
  <c r="K233" i="5"/>
  <c r="G234" i="5"/>
  <c r="H234" i="5"/>
  <c r="I234" i="5"/>
  <c r="J234" i="5"/>
  <c r="K234" i="5"/>
  <c r="G235" i="5"/>
  <c r="H235" i="5"/>
  <c r="I235" i="5"/>
  <c r="J235" i="5"/>
  <c r="K235" i="5"/>
  <c r="G236" i="5"/>
  <c r="H236" i="5"/>
  <c r="I236" i="5"/>
  <c r="J236" i="5"/>
  <c r="O236" i="5" s="1"/>
  <c r="K236" i="5"/>
  <c r="G237" i="5"/>
  <c r="H237" i="5"/>
  <c r="I237" i="5"/>
  <c r="N237" i="5" s="1"/>
  <c r="J237" i="5"/>
  <c r="K237" i="5"/>
  <c r="G238" i="5"/>
  <c r="H238" i="5"/>
  <c r="I238" i="5"/>
  <c r="J238" i="5"/>
  <c r="K238" i="5"/>
  <c r="G239" i="5"/>
  <c r="H239" i="5"/>
  <c r="I239" i="5"/>
  <c r="J239" i="5"/>
  <c r="K239" i="5"/>
  <c r="G240" i="5"/>
  <c r="H240" i="5"/>
  <c r="I240" i="5"/>
  <c r="J240" i="5"/>
  <c r="K240" i="5"/>
  <c r="G241" i="5"/>
  <c r="H241" i="5"/>
  <c r="I241" i="5"/>
  <c r="J241" i="5"/>
  <c r="O241" i="5" s="1"/>
  <c r="K241" i="5"/>
  <c r="G242" i="5"/>
  <c r="H242" i="5"/>
  <c r="M242" i="5" s="1"/>
  <c r="I242" i="5"/>
  <c r="J242" i="5"/>
  <c r="K242" i="5"/>
  <c r="G243" i="5"/>
  <c r="H243" i="5"/>
  <c r="I243" i="5"/>
  <c r="J243" i="5"/>
  <c r="K243" i="5"/>
  <c r="G244" i="5"/>
  <c r="H244" i="5"/>
  <c r="I244" i="5"/>
  <c r="J244" i="5"/>
  <c r="K244" i="5"/>
  <c r="G245" i="5"/>
  <c r="H245" i="5"/>
  <c r="I245" i="5"/>
  <c r="N245" i="5" s="1"/>
  <c r="J245" i="5"/>
  <c r="K245" i="5"/>
  <c r="G246" i="5"/>
  <c r="H246" i="5"/>
  <c r="I246" i="5"/>
  <c r="J246" i="5"/>
  <c r="K246" i="5"/>
  <c r="G247" i="5"/>
  <c r="H247" i="5"/>
  <c r="I247" i="5"/>
  <c r="J247" i="5"/>
  <c r="K247" i="5"/>
  <c r="G248" i="5"/>
  <c r="H248" i="5"/>
  <c r="I248" i="5"/>
  <c r="J248" i="5"/>
  <c r="O248" i="5" s="1"/>
  <c r="K248" i="5"/>
  <c r="G249" i="5"/>
  <c r="H249" i="5"/>
  <c r="I249" i="5"/>
  <c r="N249" i="5" s="1"/>
  <c r="J249" i="5"/>
  <c r="K249" i="5"/>
  <c r="G250" i="5"/>
  <c r="H250" i="5"/>
  <c r="I250" i="5"/>
  <c r="J250" i="5"/>
  <c r="K250" i="5"/>
  <c r="G251" i="5"/>
  <c r="H251" i="5"/>
  <c r="I251" i="5"/>
  <c r="J251" i="5"/>
  <c r="K251" i="5"/>
  <c r="G252" i="5"/>
  <c r="H252" i="5"/>
  <c r="I252" i="5"/>
  <c r="J252" i="5"/>
  <c r="O252" i="5" s="1"/>
  <c r="K252" i="5"/>
  <c r="G253" i="5"/>
  <c r="H253" i="5"/>
  <c r="I253" i="5"/>
  <c r="N253" i="5" s="1"/>
  <c r="J253" i="5"/>
  <c r="K253" i="5"/>
  <c r="G254" i="5"/>
  <c r="H254" i="5"/>
  <c r="I254" i="5"/>
  <c r="J254" i="5"/>
  <c r="K254" i="5"/>
  <c r="G255" i="5"/>
  <c r="H255" i="5"/>
  <c r="I255" i="5"/>
  <c r="J255" i="5"/>
  <c r="K255" i="5"/>
  <c r="G256" i="5"/>
  <c r="H256" i="5"/>
  <c r="I256" i="5"/>
  <c r="J256" i="5"/>
  <c r="K256" i="5"/>
  <c r="G257" i="5"/>
  <c r="H257" i="5"/>
  <c r="I257" i="5"/>
  <c r="N257" i="5" s="1"/>
  <c r="J257" i="5"/>
  <c r="O257" i="5" s="1"/>
  <c r="K257" i="5"/>
  <c r="G258" i="5"/>
  <c r="H258" i="5"/>
  <c r="I258" i="5"/>
  <c r="J258" i="5"/>
  <c r="K258" i="5"/>
  <c r="G259" i="5"/>
  <c r="H259" i="5"/>
  <c r="I259" i="5"/>
  <c r="J259" i="5"/>
  <c r="K259" i="5"/>
  <c r="G260" i="5"/>
  <c r="H260" i="5"/>
  <c r="I260" i="5"/>
  <c r="J260" i="5"/>
  <c r="O260" i="5" s="1"/>
  <c r="K260" i="5"/>
  <c r="G261" i="5"/>
  <c r="H261" i="5"/>
  <c r="I261" i="5"/>
  <c r="J261" i="5"/>
  <c r="K261" i="5"/>
  <c r="G262" i="5"/>
  <c r="H262" i="5"/>
  <c r="I262" i="5"/>
  <c r="J262" i="5"/>
  <c r="K262" i="5"/>
  <c r="G263" i="5"/>
  <c r="H263" i="5"/>
  <c r="I263" i="5"/>
  <c r="J263" i="5"/>
  <c r="K263" i="5"/>
  <c r="G264" i="5"/>
  <c r="H264" i="5"/>
  <c r="I264" i="5"/>
  <c r="J264" i="5"/>
  <c r="K264" i="5"/>
  <c r="G265" i="5"/>
  <c r="H265" i="5"/>
  <c r="I265" i="5"/>
  <c r="N265" i="5" s="1"/>
  <c r="J265" i="5"/>
  <c r="K265" i="5"/>
  <c r="G266" i="5"/>
  <c r="H266" i="5"/>
  <c r="I266" i="5"/>
  <c r="J266" i="5"/>
  <c r="K266" i="5"/>
  <c r="G267" i="5"/>
  <c r="H267" i="5"/>
  <c r="I267" i="5"/>
  <c r="J267" i="5"/>
  <c r="K267" i="5"/>
  <c r="G268" i="5"/>
  <c r="H268" i="5"/>
  <c r="I268" i="5"/>
  <c r="J268" i="5"/>
  <c r="O268" i="5" s="1"/>
  <c r="K268" i="5"/>
  <c r="G269" i="5"/>
  <c r="H269" i="5"/>
  <c r="I269" i="5"/>
  <c r="N269" i="5" s="1"/>
  <c r="J269" i="5"/>
  <c r="K269" i="5"/>
  <c r="G270" i="5"/>
  <c r="H270" i="5"/>
  <c r="I270" i="5"/>
  <c r="J270" i="5"/>
  <c r="K270" i="5"/>
  <c r="G271" i="5"/>
  <c r="H271" i="5"/>
  <c r="I271" i="5"/>
  <c r="J271" i="5"/>
  <c r="K271" i="5"/>
  <c r="G272" i="5"/>
  <c r="H272" i="5"/>
  <c r="I272" i="5"/>
  <c r="J272" i="5"/>
  <c r="K272" i="5"/>
  <c r="G273" i="5"/>
  <c r="H273" i="5"/>
  <c r="I273" i="5"/>
  <c r="J273" i="5"/>
  <c r="O273" i="5" s="1"/>
  <c r="K273" i="5"/>
  <c r="G274" i="5"/>
  <c r="H274" i="5"/>
  <c r="M274" i="5" s="1"/>
  <c r="I274" i="5"/>
  <c r="J274" i="5"/>
  <c r="K274" i="5"/>
  <c r="G275" i="5"/>
  <c r="H275" i="5"/>
  <c r="I275" i="5"/>
  <c r="J275" i="5"/>
  <c r="K275" i="5"/>
  <c r="G276" i="5"/>
  <c r="H276" i="5"/>
  <c r="I276" i="5"/>
  <c r="J276" i="5"/>
  <c r="K276" i="5"/>
  <c r="G277" i="5"/>
  <c r="H277" i="5"/>
  <c r="I277" i="5"/>
  <c r="N277" i="5" s="1"/>
  <c r="J277" i="5"/>
  <c r="K277" i="5"/>
  <c r="G278" i="5"/>
  <c r="H278" i="5"/>
  <c r="I278" i="5"/>
  <c r="J278" i="5"/>
  <c r="K278" i="5"/>
  <c r="G279" i="5"/>
  <c r="H279" i="5"/>
  <c r="I279" i="5"/>
  <c r="J279" i="5"/>
  <c r="K279" i="5"/>
  <c r="G280" i="5"/>
  <c r="H280" i="5"/>
  <c r="I280" i="5"/>
  <c r="J280" i="5"/>
  <c r="O280" i="5" s="1"/>
  <c r="K280" i="5"/>
  <c r="G281" i="5"/>
  <c r="H281" i="5"/>
  <c r="I281" i="5"/>
  <c r="N281" i="5" s="1"/>
  <c r="J281" i="5"/>
  <c r="K281" i="5"/>
  <c r="G282" i="5"/>
  <c r="H282" i="5"/>
  <c r="I282" i="5"/>
  <c r="J282" i="5"/>
  <c r="K282" i="5"/>
  <c r="G283" i="5"/>
  <c r="H283" i="5"/>
  <c r="I283" i="5"/>
  <c r="J283" i="5"/>
  <c r="K283" i="5"/>
  <c r="G284" i="5"/>
  <c r="H284" i="5"/>
  <c r="I284" i="5"/>
  <c r="J284" i="5"/>
  <c r="O284" i="5" s="1"/>
  <c r="K284" i="5"/>
  <c r="G285" i="5"/>
  <c r="H285" i="5"/>
  <c r="I285" i="5"/>
  <c r="N285" i="5" s="1"/>
  <c r="J285" i="5"/>
  <c r="K285" i="5"/>
  <c r="G286" i="5"/>
  <c r="H286" i="5"/>
  <c r="I286" i="5"/>
  <c r="J286" i="5"/>
  <c r="K286" i="5"/>
  <c r="G287" i="5"/>
  <c r="H287" i="5"/>
  <c r="I287" i="5"/>
  <c r="J287" i="5"/>
  <c r="K287" i="5"/>
  <c r="G288" i="5"/>
  <c r="H288" i="5"/>
  <c r="I288" i="5"/>
  <c r="J288" i="5"/>
  <c r="K288" i="5"/>
  <c r="G289" i="5"/>
  <c r="H289" i="5"/>
  <c r="I289" i="5"/>
  <c r="N289" i="5" s="1"/>
  <c r="J289" i="5"/>
  <c r="O289" i="5" s="1"/>
  <c r="K289" i="5"/>
  <c r="G290" i="5"/>
  <c r="H290" i="5"/>
  <c r="I290" i="5"/>
  <c r="J290" i="5"/>
  <c r="K290" i="5"/>
  <c r="G291" i="5"/>
  <c r="H291" i="5"/>
  <c r="I291" i="5"/>
  <c r="J291" i="5"/>
  <c r="K291" i="5"/>
  <c r="G292" i="5"/>
  <c r="H292" i="5"/>
  <c r="I292" i="5"/>
  <c r="J292" i="5"/>
  <c r="O292" i="5" s="1"/>
  <c r="K292" i="5"/>
  <c r="G293" i="5"/>
  <c r="H293" i="5"/>
  <c r="I293" i="5"/>
  <c r="J293" i="5"/>
  <c r="K293" i="5"/>
  <c r="G294" i="5"/>
  <c r="H294" i="5"/>
  <c r="I294" i="5"/>
  <c r="J294" i="5"/>
  <c r="K294" i="5"/>
  <c r="G295" i="5"/>
  <c r="H295" i="5"/>
  <c r="I295" i="5"/>
  <c r="J295" i="5"/>
  <c r="K295" i="5"/>
  <c r="G296" i="5"/>
  <c r="H296" i="5"/>
  <c r="I296" i="5"/>
  <c r="J296" i="5"/>
  <c r="K296" i="5"/>
  <c r="G297" i="5"/>
  <c r="H297" i="5"/>
  <c r="I297" i="5"/>
  <c r="N297" i="5" s="1"/>
  <c r="J297" i="5"/>
  <c r="K297" i="5"/>
  <c r="G298" i="5"/>
  <c r="H298" i="5"/>
  <c r="I298" i="5"/>
  <c r="J298" i="5"/>
  <c r="K298" i="5"/>
  <c r="G299" i="5"/>
  <c r="H299" i="5"/>
  <c r="I299" i="5"/>
  <c r="J299" i="5"/>
  <c r="K299" i="5"/>
  <c r="G300" i="5"/>
  <c r="H300" i="5"/>
  <c r="I300" i="5"/>
  <c r="J300" i="5"/>
  <c r="O300" i="5" s="1"/>
  <c r="K300" i="5"/>
  <c r="G301" i="5"/>
  <c r="H301" i="5"/>
  <c r="I301" i="5"/>
  <c r="N301" i="5" s="1"/>
  <c r="J301" i="5"/>
  <c r="K301" i="5"/>
  <c r="G302" i="5"/>
  <c r="H302" i="5"/>
  <c r="I302" i="5"/>
  <c r="J302" i="5"/>
  <c r="K302" i="5"/>
  <c r="G303" i="5"/>
  <c r="H303" i="5"/>
  <c r="I303" i="5"/>
  <c r="J303" i="5"/>
  <c r="K303" i="5"/>
  <c r="G304" i="5"/>
  <c r="H304" i="5"/>
  <c r="I304" i="5"/>
  <c r="J304" i="5"/>
  <c r="K304" i="5"/>
  <c r="G305" i="5"/>
  <c r="H305" i="5"/>
  <c r="I305" i="5"/>
  <c r="J305" i="5"/>
  <c r="O305" i="5" s="1"/>
  <c r="K305" i="5"/>
  <c r="G306" i="5"/>
  <c r="H306" i="5"/>
  <c r="M306" i="5" s="1"/>
  <c r="I306" i="5"/>
  <c r="J306" i="5"/>
  <c r="K306" i="5"/>
  <c r="G307" i="5"/>
  <c r="H307" i="5"/>
  <c r="I307" i="5"/>
  <c r="J307" i="5"/>
  <c r="K307" i="5"/>
  <c r="G308" i="5"/>
  <c r="H308" i="5"/>
  <c r="I308" i="5"/>
  <c r="J308" i="5"/>
  <c r="K308" i="5"/>
  <c r="G309" i="5"/>
  <c r="H309" i="5"/>
  <c r="I309" i="5"/>
  <c r="N309" i="5" s="1"/>
  <c r="J309" i="5"/>
  <c r="K309" i="5"/>
  <c r="G310" i="5"/>
  <c r="H310" i="5"/>
  <c r="I310" i="5"/>
  <c r="J310" i="5"/>
  <c r="K310" i="5"/>
  <c r="G311" i="5"/>
  <c r="H311" i="5"/>
  <c r="I311" i="5"/>
  <c r="J311" i="5"/>
  <c r="K311" i="5"/>
  <c r="K4" i="5"/>
  <c r="J4" i="5"/>
  <c r="I4" i="5"/>
  <c r="N4" i="5" s="1"/>
  <c r="H4" i="5"/>
  <c r="G4" i="5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7" i="3"/>
  <c r="O311" i="5" l="1"/>
  <c r="L311" i="5"/>
  <c r="M311" i="5"/>
  <c r="O307" i="5"/>
  <c r="P307" i="5"/>
  <c r="L307" i="5"/>
  <c r="O303" i="5"/>
  <c r="N303" i="5"/>
  <c r="P303" i="5"/>
  <c r="O299" i="5"/>
  <c r="M299" i="5"/>
  <c r="N299" i="5"/>
  <c r="O295" i="5"/>
  <c r="L295" i="5"/>
  <c r="M295" i="5"/>
  <c r="O291" i="5"/>
  <c r="P291" i="5"/>
  <c r="L291" i="5"/>
  <c r="O287" i="5"/>
  <c r="N287" i="5"/>
  <c r="P287" i="5"/>
  <c r="O283" i="5"/>
  <c r="M283" i="5"/>
  <c r="N283" i="5"/>
  <c r="O279" i="5"/>
  <c r="L279" i="5"/>
  <c r="M279" i="5"/>
  <c r="O275" i="5"/>
  <c r="P275" i="5"/>
  <c r="L275" i="5"/>
  <c r="O271" i="5"/>
  <c r="N271" i="5"/>
  <c r="P271" i="5"/>
  <c r="O267" i="5"/>
  <c r="M267" i="5"/>
  <c r="N267" i="5"/>
  <c r="O263" i="5"/>
  <c r="L263" i="5"/>
  <c r="M263" i="5"/>
  <c r="O259" i="5"/>
  <c r="P259" i="5"/>
  <c r="L259" i="5"/>
  <c r="O255" i="5"/>
  <c r="N255" i="5"/>
  <c r="P255" i="5"/>
  <c r="O251" i="5"/>
  <c r="M251" i="5"/>
  <c r="N251" i="5"/>
  <c r="O247" i="5"/>
  <c r="L247" i="5"/>
  <c r="M247" i="5"/>
  <c r="O243" i="5"/>
  <c r="P243" i="5"/>
  <c r="L243" i="5"/>
  <c r="O239" i="5"/>
  <c r="N239" i="5"/>
  <c r="P239" i="5"/>
  <c r="O235" i="5"/>
  <c r="M235" i="5"/>
  <c r="N235" i="5"/>
  <c r="O231" i="5"/>
  <c r="L231" i="5"/>
  <c r="M231" i="5"/>
  <c r="O227" i="5"/>
  <c r="P227" i="5"/>
  <c r="L227" i="5"/>
  <c r="L223" i="5"/>
  <c r="P223" i="5"/>
  <c r="M223" i="5"/>
  <c r="N223" i="5"/>
  <c r="L219" i="5"/>
  <c r="P219" i="5"/>
  <c r="O219" i="5"/>
  <c r="M219" i="5"/>
  <c r="L215" i="5"/>
  <c r="P215" i="5"/>
  <c r="N215" i="5"/>
  <c r="O215" i="5"/>
  <c r="L211" i="5"/>
  <c r="P211" i="5"/>
  <c r="M211" i="5"/>
  <c r="N211" i="5"/>
  <c r="O211" i="5"/>
  <c r="L207" i="5"/>
  <c r="P207" i="5"/>
  <c r="M207" i="5"/>
  <c r="N207" i="5"/>
  <c r="O207" i="5"/>
  <c r="L203" i="5"/>
  <c r="P203" i="5"/>
  <c r="O203" i="5"/>
  <c r="M203" i="5"/>
  <c r="N203" i="5"/>
  <c r="L199" i="5"/>
  <c r="P199" i="5"/>
  <c r="N199" i="5"/>
  <c r="M199" i="5"/>
  <c r="L195" i="5"/>
  <c r="P195" i="5"/>
  <c r="M195" i="5"/>
  <c r="O195" i="5"/>
  <c r="O191" i="5"/>
  <c r="P191" i="5"/>
  <c r="M191" i="5"/>
  <c r="N191" i="5"/>
  <c r="O187" i="5"/>
  <c r="N187" i="5"/>
  <c r="P187" i="5"/>
  <c r="M187" i="5"/>
  <c r="O183" i="5"/>
  <c r="M183" i="5"/>
  <c r="N183" i="5"/>
  <c r="P183" i="5"/>
  <c r="O179" i="5"/>
  <c r="L179" i="5"/>
  <c r="M179" i="5"/>
  <c r="N179" i="5"/>
  <c r="P179" i="5"/>
  <c r="O175" i="5"/>
  <c r="P175" i="5"/>
  <c r="L175" i="5"/>
  <c r="M175" i="5"/>
  <c r="O171" i="5"/>
  <c r="N171" i="5"/>
  <c r="L171" i="5"/>
  <c r="M171" i="5"/>
  <c r="P171" i="5"/>
  <c r="O167" i="5"/>
  <c r="M167" i="5"/>
  <c r="P167" i="5"/>
  <c r="L167" i="5"/>
  <c r="O163" i="5"/>
  <c r="L163" i="5"/>
  <c r="N163" i="5"/>
  <c r="P163" i="5"/>
  <c r="M163" i="5"/>
  <c r="O159" i="5"/>
  <c r="P159" i="5"/>
  <c r="M159" i="5"/>
  <c r="N159" i="5"/>
  <c r="L159" i="5"/>
  <c r="O155" i="5"/>
  <c r="N155" i="5"/>
  <c r="L155" i="5"/>
  <c r="M155" i="5"/>
  <c r="P155" i="5"/>
  <c r="O151" i="5"/>
  <c r="M151" i="5"/>
  <c r="L151" i="5"/>
  <c r="N151" i="5"/>
  <c r="O147" i="5"/>
  <c r="L147" i="5"/>
  <c r="P147" i="5"/>
  <c r="M147" i="5"/>
  <c r="N147" i="5"/>
  <c r="O143" i="5"/>
  <c r="P143" i="5"/>
  <c r="N143" i="5"/>
  <c r="L143" i="5"/>
  <c r="O139" i="5"/>
  <c r="N139" i="5"/>
  <c r="M139" i="5"/>
  <c r="P139" i="5"/>
  <c r="L139" i="5"/>
  <c r="O135" i="5"/>
  <c r="M135" i="5"/>
  <c r="L135" i="5"/>
  <c r="N135" i="5"/>
  <c r="O131" i="5"/>
  <c r="L131" i="5"/>
  <c r="M131" i="5"/>
  <c r="N131" i="5"/>
  <c r="P131" i="5"/>
  <c r="O127" i="5"/>
  <c r="P127" i="5"/>
  <c r="L127" i="5"/>
  <c r="M127" i="5"/>
  <c r="O123" i="5"/>
  <c r="N123" i="5"/>
  <c r="P123" i="5"/>
  <c r="L123" i="5"/>
  <c r="M123" i="5"/>
  <c r="O119" i="5"/>
  <c r="M119" i="5"/>
  <c r="N119" i="5"/>
  <c r="P119" i="5"/>
  <c r="L119" i="5"/>
  <c r="O115" i="5"/>
  <c r="L115" i="5"/>
  <c r="M115" i="5"/>
  <c r="N115" i="5"/>
  <c r="P115" i="5"/>
  <c r="O111" i="5"/>
  <c r="P111" i="5"/>
  <c r="L111" i="5"/>
  <c r="M111" i="5"/>
  <c r="O107" i="5"/>
  <c r="N107" i="5"/>
  <c r="L107" i="5"/>
  <c r="M107" i="5"/>
  <c r="P107" i="5"/>
  <c r="M103" i="5"/>
  <c r="O103" i="5"/>
  <c r="N103" i="5"/>
  <c r="L103" i="5"/>
  <c r="P103" i="5"/>
  <c r="M99" i="5"/>
  <c r="N99" i="5"/>
  <c r="L99" i="5"/>
  <c r="O99" i="5"/>
  <c r="P99" i="5"/>
  <c r="M95" i="5"/>
  <c r="L95" i="5"/>
  <c r="N95" i="5"/>
  <c r="O95" i="5"/>
  <c r="P95" i="5"/>
  <c r="M91" i="5"/>
  <c r="P91" i="5"/>
  <c r="N91" i="5"/>
  <c r="O91" i="5"/>
  <c r="L91" i="5"/>
  <c r="M87" i="5"/>
  <c r="N87" i="5"/>
  <c r="L87" i="5"/>
  <c r="O87" i="5"/>
  <c r="M83" i="5"/>
  <c r="L83" i="5"/>
  <c r="P83" i="5"/>
  <c r="N83" i="5"/>
  <c r="O83" i="5"/>
  <c r="M79" i="5"/>
  <c r="P79" i="5"/>
  <c r="O79" i="5"/>
  <c r="N79" i="5"/>
  <c r="L79" i="5"/>
  <c r="M75" i="5"/>
  <c r="O75" i="5"/>
  <c r="N75" i="5"/>
  <c r="P75" i="5"/>
  <c r="L75" i="5"/>
  <c r="N71" i="5"/>
  <c r="P71" i="5"/>
  <c r="L71" i="5"/>
  <c r="O71" i="5"/>
  <c r="M71" i="5"/>
  <c r="N67" i="5"/>
  <c r="O67" i="5"/>
  <c r="L67" i="5"/>
  <c r="P67" i="5"/>
  <c r="M67" i="5"/>
  <c r="N63" i="5"/>
  <c r="M63" i="5"/>
  <c r="P63" i="5"/>
  <c r="L63" i="5"/>
  <c r="O63" i="5"/>
  <c r="N59" i="5"/>
  <c r="L59" i="5"/>
  <c r="O59" i="5"/>
  <c r="M59" i="5"/>
  <c r="N55" i="5"/>
  <c r="P55" i="5"/>
  <c r="M55" i="5"/>
  <c r="O55" i="5"/>
  <c r="L55" i="5"/>
  <c r="N51" i="5"/>
  <c r="O51" i="5"/>
  <c r="L51" i="5"/>
  <c r="P51" i="5"/>
  <c r="M51" i="5"/>
  <c r="N47" i="5"/>
  <c r="M47" i="5"/>
  <c r="P47" i="5"/>
  <c r="O47" i="5"/>
  <c r="L47" i="5"/>
  <c r="N43" i="5"/>
  <c r="L43" i="5"/>
  <c r="P43" i="5"/>
  <c r="O43" i="5"/>
  <c r="M43" i="5"/>
  <c r="N39" i="5"/>
  <c r="P39" i="5"/>
  <c r="O39" i="5"/>
  <c r="L39" i="5"/>
  <c r="N35" i="5"/>
  <c r="O35" i="5"/>
  <c r="M35" i="5"/>
  <c r="L35" i="5"/>
  <c r="P35" i="5"/>
  <c r="N31" i="5"/>
  <c r="M31" i="5"/>
  <c r="L31" i="5"/>
  <c r="O31" i="5"/>
  <c r="P31" i="5"/>
  <c r="N27" i="5"/>
  <c r="L27" i="5"/>
  <c r="M27" i="5"/>
  <c r="O27" i="5"/>
  <c r="P27" i="5"/>
  <c r="N23" i="5"/>
  <c r="P23" i="5"/>
  <c r="M23" i="5"/>
  <c r="O23" i="5"/>
  <c r="L23" i="5"/>
  <c r="N19" i="5"/>
  <c r="O19" i="5"/>
  <c r="P19" i="5"/>
  <c r="M19" i="5"/>
  <c r="N15" i="5"/>
  <c r="M15" i="5"/>
  <c r="O15" i="5"/>
  <c r="P15" i="5"/>
  <c r="L15" i="5"/>
  <c r="N11" i="5"/>
  <c r="L11" i="5"/>
  <c r="M11" i="5"/>
  <c r="P11" i="5"/>
  <c r="O11" i="5"/>
  <c r="N7" i="5"/>
  <c r="P7" i="5"/>
  <c r="L7" i="5"/>
  <c r="M7" i="5"/>
  <c r="O7" i="5"/>
  <c r="L303" i="5"/>
  <c r="L299" i="5"/>
  <c r="P295" i="5"/>
  <c r="M291" i="5"/>
  <c r="L271" i="5"/>
  <c r="L267" i="5"/>
  <c r="P263" i="5"/>
  <c r="M259" i="5"/>
  <c r="L239" i="5"/>
  <c r="L235" i="5"/>
  <c r="P231" i="5"/>
  <c r="M227" i="5"/>
  <c r="N175" i="5"/>
  <c r="M143" i="5"/>
  <c r="P135" i="5"/>
  <c r="L310" i="5"/>
  <c r="P310" i="5"/>
  <c r="M310" i="5"/>
  <c r="L306" i="5"/>
  <c r="P306" i="5"/>
  <c r="O306" i="5"/>
  <c r="L302" i="5"/>
  <c r="P302" i="5"/>
  <c r="N302" i="5"/>
  <c r="O302" i="5"/>
  <c r="L298" i="5"/>
  <c r="P298" i="5"/>
  <c r="M298" i="5"/>
  <c r="N298" i="5"/>
  <c r="L294" i="5"/>
  <c r="P294" i="5"/>
  <c r="M294" i="5"/>
  <c r="L290" i="5"/>
  <c r="P290" i="5"/>
  <c r="O290" i="5"/>
  <c r="L286" i="5"/>
  <c r="P286" i="5"/>
  <c r="N286" i="5"/>
  <c r="O286" i="5"/>
  <c r="L282" i="5"/>
  <c r="P282" i="5"/>
  <c r="M282" i="5"/>
  <c r="N282" i="5"/>
  <c r="L278" i="5"/>
  <c r="P278" i="5"/>
  <c r="M278" i="5"/>
  <c r="L274" i="5"/>
  <c r="P274" i="5"/>
  <c r="O274" i="5"/>
  <c r="L270" i="5"/>
  <c r="P270" i="5"/>
  <c r="N270" i="5"/>
  <c r="O270" i="5"/>
  <c r="L266" i="5"/>
  <c r="P266" i="5"/>
  <c r="M266" i="5"/>
  <c r="N266" i="5"/>
  <c r="L262" i="5"/>
  <c r="P262" i="5"/>
  <c r="M262" i="5"/>
  <c r="L258" i="5"/>
  <c r="P258" i="5"/>
  <c r="O258" i="5"/>
  <c r="L254" i="5"/>
  <c r="P254" i="5"/>
  <c r="N254" i="5"/>
  <c r="O254" i="5"/>
  <c r="L250" i="5"/>
  <c r="P250" i="5"/>
  <c r="M250" i="5"/>
  <c r="N250" i="5"/>
  <c r="L246" i="5"/>
  <c r="P246" i="5"/>
  <c r="M246" i="5"/>
  <c r="L242" i="5"/>
  <c r="P242" i="5"/>
  <c r="O242" i="5"/>
  <c r="L238" i="5"/>
  <c r="P238" i="5"/>
  <c r="N238" i="5"/>
  <c r="O238" i="5"/>
  <c r="L234" i="5"/>
  <c r="P234" i="5"/>
  <c r="M234" i="5"/>
  <c r="N234" i="5"/>
  <c r="L230" i="5"/>
  <c r="P230" i="5"/>
  <c r="M230" i="5"/>
  <c r="L226" i="5"/>
  <c r="P226" i="5"/>
  <c r="O226" i="5"/>
  <c r="M222" i="5"/>
  <c r="P222" i="5"/>
  <c r="O222" i="5"/>
  <c r="L222" i="5"/>
  <c r="M218" i="5"/>
  <c r="O218" i="5"/>
  <c r="N218" i="5"/>
  <c r="P218" i="5"/>
  <c r="M214" i="5"/>
  <c r="N214" i="5"/>
  <c r="L214" i="5"/>
  <c r="O214" i="5"/>
  <c r="P214" i="5"/>
  <c r="M210" i="5"/>
  <c r="L210" i="5"/>
  <c r="N210" i="5"/>
  <c r="O210" i="5"/>
  <c r="M206" i="5"/>
  <c r="P206" i="5"/>
  <c r="L206" i="5"/>
  <c r="N206" i="5"/>
  <c r="M202" i="5"/>
  <c r="O202" i="5"/>
  <c r="P202" i="5"/>
  <c r="L202" i="5"/>
  <c r="M198" i="5"/>
  <c r="N198" i="5"/>
  <c r="O198" i="5"/>
  <c r="P198" i="5"/>
  <c r="M194" i="5"/>
  <c r="L194" i="5"/>
  <c r="N194" i="5"/>
  <c r="O194" i="5"/>
  <c r="P194" i="5"/>
  <c r="L190" i="5"/>
  <c r="P190" i="5"/>
  <c r="O190" i="5"/>
  <c r="N190" i="5"/>
  <c r="M190" i="5"/>
  <c r="L186" i="5"/>
  <c r="P186" i="5"/>
  <c r="N186" i="5"/>
  <c r="M186" i="5"/>
  <c r="O186" i="5"/>
  <c r="L182" i="5"/>
  <c r="P182" i="5"/>
  <c r="M182" i="5"/>
  <c r="N182" i="5"/>
  <c r="O182" i="5"/>
  <c r="L178" i="5"/>
  <c r="P178" i="5"/>
  <c r="M178" i="5"/>
  <c r="O178" i="5"/>
  <c r="L174" i="5"/>
  <c r="P174" i="5"/>
  <c r="O174" i="5"/>
  <c r="M174" i="5"/>
  <c r="N174" i="5"/>
  <c r="L170" i="5"/>
  <c r="P170" i="5"/>
  <c r="N170" i="5"/>
  <c r="O170" i="5"/>
  <c r="L166" i="5"/>
  <c r="P166" i="5"/>
  <c r="M166" i="5"/>
  <c r="N166" i="5"/>
  <c r="O166" i="5"/>
  <c r="L162" i="5"/>
  <c r="P162" i="5"/>
  <c r="M162" i="5"/>
  <c r="N162" i="5"/>
  <c r="O162" i="5"/>
  <c r="L158" i="5"/>
  <c r="P158" i="5"/>
  <c r="O158" i="5"/>
  <c r="M158" i="5"/>
  <c r="N158" i="5"/>
  <c r="L154" i="5"/>
  <c r="P154" i="5"/>
  <c r="N154" i="5"/>
  <c r="O154" i="5"/>
  <c r="L150" i="5"/>
  <c r="P150" i="5"/>
  <c r="M150" i="5"/>
  <c r="O150" i="5"/>
  <c r="N150" i="5"/>
  <c r="L146" i="5"/>
  <c r="P146" i="5"/>
  <c r="N146" i="5"/>
  <c r="O146" i="5"/>
  <c r="L142" i="5"/>
  <c r="P142" i="5"/>
  <c r="O142" i="5"/>
  <c r="M142" i="5"/>
  <c r="N142" i="5"/>
  <c r="L138" i="5"/>
  <c r="P138" i="5"/>
  <c r="N138" i="5"/>
  <c r="M138" i="5"/>
  <c r="L134" i="5"/>
  <c r="P134" i="5"/>
  <c r="M134" i="5"/>
  <c r="N134" i="5"/>
  <c r="O134" i="5"/>
  <c r="L130" i="5"/>
  <c r="P130" i="5"/>
  <c r="O130" i="5"/>
  <c r="M130" i="5"/>
  <c r="L126" i="5"/>
  <c r="P126" i="5"/>
  <c r="O126" i="5"/>
  <c r="N126" i="5"/>
  <c r="M126" i="5"/>
  <c r="L122" i="5"/>
  <c r="P122" i="5"/>
  <c r="N122" i="5"/>
  <c r="M122" i="5"/>
  <c r="O122" i="5"/>
  <c r="L118" i="5"/>
  <c r="P118" i="5"/>
  <c r="M118" i="5"/>
  <c r="N118" i="5"/>
  <c r="O118" i="5"/>
  <c r="L114" i="5"/>
  <c r="P114" i="5"/>
  <c r="M114" i="5"/>
  <c r="O114" i="5"/>
  <c r="L110" i="5"/>
  <c r="P110" i="5"/>
  <c r="O110" i="5"/>
  <c r="M110" i="5"/>
  <c r="N110" i="5"/>
  <c r="N106" i="5"/>
  <c r="P106" i="5"/>
  <c r="M106" i="5"/>
  <c r="O106" i="5"/>
  <c r="N102" i="5"/>
  <c r="O102" i="5"/>
  <c r="L102" i="5"/>
  <c r="P102" i="5"/>
  <c r="N98" i="5"/>
  <c r="M98" i="5"/>
  <c r="P98" i="5"/>
  <c r="L98" i="5"/>
  <c r="N94" i="5"/>
  <c r="L94" i="5"/>
  <c r="P94" i="5"/>
  <c r="M94" i="5"/>
  <c r="N90" i="5"/>
  <c r="P90" i="5"/>
  <c r="O90" i="5"/>
  <c r="L90" i="5"/>
  <c r="M90" i="5"/>
  <c r="N86" i="5"/>
  <c r="M86" i="5"/>
  <c r="P86" i="5"/>
  <c r="O86" i="5"/>
  <c r="L86" i="5"/>
  <c r="N82" i="5"/>
  <c r="L82" i="5"/>
  <c r="O82" i="5"/>
  <c r="M82" i="5"/>
  <c r="N78" i="5"/>
  <c r="P78" i="5"/>
  <c r="M78" i="5"/>
  <c r="O78" i="5"/>
  <c r="N74" i="5"/>
  <c r="O74" i="5"/>
  <c r="L74" i="5"/>
  <c r="M74" i="5"/>
  <c r="P74" i="5"/>
  <c r="O70" i="5"/>
  <c r="P70" i="5"/>
  <c r="N70" i="5"/>
  <c r="L70" i="5"/>
  <c r="M70" i="5"/>
  <c r="O66" i="5"/>
  <c r="N66" i="5"/>
  <c r="P66" i="5"/>
  <c r="M66" i="5"/>
  <c r="O62" i="5"/>
  <c r="M62" i="5"/>
  <c r="N62" i="5"/>
  <c r="L62" i="5"/>
  <c r="P62" i="5"/>
  <c r="O58" i="5"/>
  <c r="L58" i="5"/>
  <c r="M58" i="5"/>
  <c r="P58" i="5"/>
  <c r="N58" i="5"/>
  <c r="O54" i="5"/>
  <c r="P54" i="5"/>
  <c r="L54" i="5"/>
  <c r="M54" i="5"/>
  <c r="N54" i="5"/>
  <c r="O50" i="5"/>
  <c r="N50" i="5"/>
  <c r="L50" i="5"/>
  <c r="P50" i="5"/>
  <c r="M50" i="5"/>
  <c r="O46" i="5"/>
  <c r="M46" i="5"/>
  <c r="P46" i="5"/>
  <c r="L46" i="5"/>
  <c r="N46" i="5"/>
  <c r="O42" i="5"/>
  <c r="L42" i="5"/>
  <c r="N42" i="5"/>
  <c r="M42" i="5"/>
  <c r="P42" i="5"/>
  <c r="O38" i="5"/>
  <c r="P38" i="5"/>
  <c r="M38" i="5"/>
  <c r="N38" i="5"/>
  <c r="L38" i="5"/>
  <c r="O34" i="5"/>
  <c r="N34" i="5"/>
  <c r="L34" i="5"/>
  <c r="P34" i="5"/>
  <c r="M34" i="5"/>
  <c r="O30" i="5"/>
  <c r="M30" i="5"/>
  <c r="P30" i="5"/>
  <c r="N30" i="5"/>
  <c r="L30" i="5"/>
  <c r="O26" i="5"/>
  <c r="L26" i="5"/>
  <c r="P26" i="5"/>
  <c r="M26" i="5"/>
  <c r="N26" i="5"/>
  <c r="O22" i="5"/>
  <c r="P22" i="5"/>
  <c r="N22" i="5"/>
  <c r="L22" i="5"/>
  <c r="M22" i="5"/>
  <c r="O18" i="5"/>
  <c r="N18" i="5"/>
  <c r="M18" i="5"/>
  <c r="P18" i="5"/>
  <c r="L18" i="5"/>
  <c r="O14" i="5"/>
  <c r="M14" i="5"/>
  <c r="L14" i="5"/>
  <c r="N14" i="5"/>
  <c r="P14" i="5"/>
  <c r="O10" i="5"/>
  <c r="L10" i="5"/>
  <c r="M10" i="5"/>
  <c r="P10" i="5"/>
  <c r="N10" i="5"/>
  <c r="O6" i="5"/>
  <c r="P6" i="5"/>
  <c r="M6" i="5"/>
  <c r="L6" i="5"/>
  <c r="N6" i="5"/>
  <c r="N310" i="5"/>
  <c r="N307" i="5"/>
  <c r="M302" i="5"/>
  <c r="O298" i="5"/>
  <c r="N295" i="5"/>
  <c r="N290" i="5"/>
  <c r="M287" i="5"/>
  <c r="P283" i="5"/>
  <c r="N278" i="5"/>
  <c r="N275" i="5"/>
  <c r="M270" i="5"/>
  <c r="O266" i="5"/>
  <c r="N263" i="5"/>
  <c r="N258" i="5"/>
  <c r="M255" i="5"/>
  <c r="P251" i="5"/>
  <c r="N246" i="5"/>
  <c r="N243" i="5"/>
  <c r="M238" i="5"/>
  <c r="O234" i="5"/>
  <c r="N231" i="5"/>
  <c r="N226" i="5"/>
  <c r="O206" i="5"/>
  <c r="N202" i="5"/>
  <c r="N195" i="5"/>
  <c r="O138" i="5"/>
  <c r="P82" i="5"/>
  <c r="L66" i="5"/>
  <c r="L19" i="5"/>
  <c r="M309" i="5"/>
  <c r="M305" i="5"/>
  <c r="M301" i="5"/>
  <c r="M297" i="5"/>
  <c r="M293" i="5"/>
  <c r="M289" i="5"/>
  <c r="M285" i="5"/>
  <c r="M281" i="5"/>
  <c r="M277" i="5"/>
  <c r="M273" i="5"/>
  <c r="M269" i="5"/>
  <c r="M265" i="5"/>
  <c r="M261" i="5"/>
  <c r="M257" i="5"/>
  <c r="M253" i="5"/>
  <c r="M249" i="5"/>
  <c r="M245" i="5"/>
  <c r="M241" i="5"/>
  <c r="M237" i="5"/>
  <c r="M233" i="5"/>
  <c r="M229" i="5"/>
  <c r="N308" i="5"/>
  <c r="N304" i="5"/>
  <c r="N300" i="5"/>
  <c r="N296" i="5"/>
  <c r="N292" i="5"/>
  <c r="N288" i="5"/>
  <c r="N284" i="5"/>
  <c r="N280" i="5"/>
  <c r="N276" i="5"/>
  <c r="N272" i="5"/>
  <c r="N268" i="5"/>
  <c r="N264" i="5"/>
  <c r="N260" i="5"/>
  <c r="N256" i="5"/>
  <c r="N252" i="5"/>
  <c r="N248" i="5"/>
  <c r="N244" i="5"/>
  <c r="N240" i="5"/>
  <c r="N236" i="5"/>
  <c r="N232" i="5"/>
  <c r="N228" i="5"/>
  <c r="O224" i="5"/>
  <c r="L224" i="5"/>
  <c r="O220" i="5"/>
  <c r="P220" i="5"/>
  <c r="O216" i="5"/>
  <c r="N216" i="5"/>
  <c r="O212" i="5"/>
  <c r="M212" i="5"/>
  <c r="O208" i="5"/>
  <c r="L208" i="5"/>
  <c r="O204" i="5"/>
  <c r="P204" i="5"/>
  <c r="O200" i="5"/>
  <c r="N200" i="5"/>
  <c r="O196" i="5"/>
  <c r="M196" i="5"/>
  <c r="O192" i="5"/>
  <c r="L192" i="5"/>
  <c r="N188" i="5"/>
  <c r="O188" i="5"/>
  <c r="N184" i="5"/>
  <c r="M184" i="5"/>
  <c r="P184" i="5"/>
  <c r="N180" i="5"/>
  <c r="L180" i="5"/>
  <c r="O180" i="5"/>
  <c r="P180" i="5"/>
  <c r="N176" i="5"/>
  <c r="P176" i="5"/>
  <c r="M176" i="5"/>
  <c r="O176" i="5"/>
  <c r="N172" i="5"/>
  <c r="O172" i="5"/>
  <c r="L172" i="5"/>
  <c r="M172" i="5"/>
  <c r="N168" i="5"/>
  <c r="M168" i="5"/>
  <c r="L168" i="5"/>
  <c r="N164" i="5"/>
  <c r="L164" i="5"/>
  <c r="P164" i="5"/>
  <c r="N160" i="5"/>
  <c r="P160" i="5"/>
  <c r="O160" i="5"/>
  <c r="N156" i="5"/>
  <c r="O156" i="5"/>
  <c r="M156" i="5"/>
  <c r="P156" i="5"/>
  <c r="N152" i="5"/>
  <c r="M152" i="5"/>
  <c r="L152" i="5"/>
  <c r="O152" i="5"/>
  <c r="N148" i="5"/>
  <c r="L148" i="5"/>
  <c r="M148" i="5"/>
  <c r="N144" i="5"/>
  <c r="P144" i="5"/>
  <c r="L144" i="5"/>
  <c r="N140" i="5"/>
  <c r="O140" i="5"/>
  <c r="P140" i="5"/>
  <c r="N136" i="5"/>
  <c r="M136" i="5"/>
  <c r="O136" i="5"/>
  <c r="P136" i="5"/>
  <c r="N132" i="5"/>
  <c r="L132" i="5"/>
  <c r="M132" i="5"/>
  <c r="O132" i="5"/>
  <c r="N128" i="5"/>
  <c r="P128" i="5"/>
  <c r="L128" i="5"/>
  <c r="M128" i="5"/>
  <c r="N124" i="5"/>
  <c r="O124" i="5"/>
  <c r="L124" i="5"/>
  <c r="N120" i="5"/>
  <c r="M120" i="5"/>
  <c r="P120" i="5"/>
  <c r="N116" i="5"/>
  <c r="L116" i="5"/>
  <c r="O116" i="5"/>
  <c r="P116" i="5"/>
  <c r="N112" i="5"/>
  <c r="P112" i="5"/>
  <c r="M112" i="5"/>
  <c r="O112" i="5"/>
  <c r="N108" i="5"/>
  <c r="O108" i="5"/>
  <c r="L108" i="5"/>
  <c r="M108" i="5"/>
  <c r="L104" i="5"/>
  <c r="P104" i="5"/>
  <c r="O104" i="5"/>
  <c r="N104" i="5"/>
  <c r="L100" i="5"/>
  <c r="P100" i="5"/>
  <c r="N100" i="5"/>
  <c r="O100" i="5"/>
  <c r="L96" i="5"/>
  <c r="P96" i="5"/>
  <c r="M96" i="5"/>
  <c r="N96" i="5"/>
  <c r="L92" i="5"/>
  <c r="P92" i="5"/>
  <c r="M92" i="5"/>
  <c r="L88" i="5"/>
  <c r="P88" i="5"/>
  <c r="N88" i="5"/>
  <c r="M88" i="5"/>
  <c r="L84" i="5"/>
  <c r="P84" i="5"/>
  <c r="M84" i="5"/>
  <c r="N84" i="5"/>
  <c r="O84" i="5"/>
  <c r="L80" i="5"/>
  <c r="P80" i="5"/>
  <c r="M80" i="5"/>
  <c r="L76" i="5"/>
  <c r="P76" i="5"/>
  <c r="O76" i="5"/>
  <c r="N76" i="5"/>
  <c r="M72" i="5"/>
  <c r="P72" i="5"/>
  <c r="N72" i="5"/>
  <c r="O72" i="5"/>
  <c r="L72" i="5"/>
  <c r="M68" i="5"/>
  <c r="O68" i="5"/>
  <c r="L68" i="5"/>
  <c r="P68" i="5"/>
  <c r="N68" i="5"/>
  <c r="M64" i="5"/>
  <c r="N64" i="5"/>
  <c r="P64" i="5"/>
  <c r="L64" i="5"/>
  <c r="O64" i="5"/>
  <c r="M60" i="5"/>
  <c r="L60" i="5"/>
  <c r="P60" i="5"/>
  <c r="O60" i="5"/>
  <c r="M56" i="5"/>
  <c r="P56" i="5"/>
  <c r="O56" i="5"/>
  <c r="N56" i="5"/>
  <c r="M52" i="5"/>
  <c r="O52" i="5"/>
  <c r="N52" i="5"/>
  <c r="L52" i="5"/>
  <c r="M48" i="5"/>
  <c r="N48" i="5"/>
  <c r="L48" i="5"/>
  <c r="P48" i="5"/>
  <c r="O48" i="5"/>
  <c r="M44" i="5"/>
  <c r="L44" i="5"/>
  <c r="N44" i="5"/>
  <c r="O44" i="5"/>
  <c r="P44" i="5"/>
  <c r="M40" i="5"/>
  <c r="P40" i="5"/>
  <c r="N40" i="5"/>
  <c r="O40" i="5"/>
  <c r="M36" i="5"/>
  <c r="O36" i="5"/>
  <c r="P36" i="5"/>
  <c r="N36" i="5"/>
  <c r="L36" i="5"/>
  <c r="M32" i="5"/>
  <c r="N32" i="5"/>
  <c r="O32" i="5"/>
  <c r="P32" i="5"/>
  <c r="M28" i="5"/>
  <c r="L28" i="5"/>
  <c r="N28" i="5"/>
  <c r="P28" i="5"/>
  <c r="O28" i="5"/>
  <c r="M24" i="5"/>
  <c r="P24" i="5"/>
  <c r="L24" i="5"/>
  <c r="N24" i="5"/>
  <c r="O24" i="5"/>
  <c r="M20" i="5"/>
  <c r="O20" i="5"/>
  <c r="P20" i="5"/>
  <c r="N20" i="5"/>
  <c r="M16" i="5"/>
  <c r="N16" i="5"/>
  <c r="P16" i="5"/>
  <c r="L16" i="5"/>
  <c r="M12" i="5"/>
  <c r="L12" i="5"/>
  <c r="O12" i="5"/>
  <c r="M8" i="5"/>
  <c r="P8" i="5"/>
  <c r="N8" i="5"/>
  <c r="L8" i="5"/>
  <c r="O8" i="5"/>
  <c r="M4" i="5"/>
  <c r="P308" i="5"/>
  <c r="O304" i="5"/>
  <c r="M300" i="5"/>
  <c r="L296" i="5"/>
  <c r="P292" i="5"/>
  <c r="O288" i="5"/>
  <c r="M284" i="5"/>
  <c r="L280" i="5"/>
  <c r="P276" i="5"/>
  <c r="O272" i="5"/>
  <c r="M268" i="5"/>
  <c r="L264" i="5"/>
  <c r="P260" i="5"/>
  <c r="O256" i="5"/>
  <c r="M252" i="5"/>
  <c r="L248" i="5"/>
  <c r="P244" i="5"/>
  <c r="O240" i="5"/>
  <c r="M236" i="5"/>
  <c r="L232" i="5"/>
  <c r="P228" i="5"/>
  <c r="M224" i="5"/>
  <c r="L220" i="5"/>
  <c r="P212" i="5"/>
  <c r="N208" i="5"/>
  <c r="M204" i="5"/>
  <c r="L200" i="5"/>
  <c r="P192" i="5"/>
  <c r="L176" i="5"/>
  <c r="O168" i="5"/>
  <c r="M160" i="5"/>
  <c r="P152" i="5"/>
  <c r="M144" i="5"/>
  <c r="L136" i="5"/>
  <c r="O128" i="5"/>
  <c r="O120" i="5"/>
  <c r="L112" i="5"/>
  <c r="O92" i="5"/>
  <c r="O88" i="5"/>
  <c r="N60" i="5"/>
  <c r="L40" i="5"/>
  <c r="L20" i="5"/>
  <c r="P12" i="5"/>
  <c r="N225" i="5"/>
  <c r="N221" i="5"/>
  <c r="N217" i="5"/>
  <c r="N213" i="5"/>
  <c r="N209" i="5"/>
  <c r="N205" i="5"/>
  <c r="N201" i="5"/>
  <c r="N197" i="5"/>
  <c r="N193" i="5"/>
  <c r="M189" i="5"/>
  <c r="O189" i="5"/>
  <c r="M185" i="5"/>
  <c r="N185" i="5"/>
  <c r="M181" i="5"/>
  <c r="L181" i="5"/>
  <c r="M177" i="5"/>
  <c r="P177" i="5"/>
  <c r="M173" i="5"/>
  <c r="O173" i="5"/>
  <c r="M169" i="5"/>
  <c r="N169" i="5"/>
  <c r="M165" i="5"/>
  <c r="L165" i="5"/>
  <c r="M161" i="5"/>
  <c r="P161" i="5"/>
  <c r="M157" i="5"/>
  <c r="O157" i="5"/>
  <c r="M153" i="5"/>
  <c r="N153" i="5"/>
  <c r="M149" i="5"/>
  <c r="L149" i="5"/>
  <c r="M145" i="5"/>
  <c r="P145" i="5"/>
  <c r="M141" i="5"/>
  <c r="O141" i="5"/>
  <c r="M137" i="5"/>
  <c r="N137" i="5"/>
  <c r="M133" i="5"/>
  <c r="L133" i="5"/>
  <c r="M129" i="5"/>
  <c r="P129" i="5"/>
  <c r="M125" i="5"/>
  <c r="O125" i="5"/>
  <c r="M121" i="5"/>
  <c r="N121" i="5"/>
  <c r="M117" i="5"/>
  <c r="L117" i="5"/>
  <c r="M113" i="5"/>
  <c r="P113" i="5"/>
  <c r="M109" i="5"/>
  <c r="O109" i="5"/>
  <c r="O105" i="5"/>
  <c r="P105" i="5"/>
  <c r="L105" i="5"/>
  <c r="O101" i="5"/>
  <c r="N101" i="5"/>
  <c r="O97" i="5"/>
  <c r="M97" i="5"/>
  <c r="P97" i="5"/>
  <c r="O93" i="5"/>
  <c r="L93" i="5"/>
  <c r="N93" i="5"/>
  <c r="O89" i="5"/>
  <c r="N89" i="5"/>
  <c r="P89" i="5"/>
  <c r="L89" i="5"/>
  <c r="O85" i="5"/>
  <c r="M85" i="5"/>
  <c r="N85" i="5"/>
  <c r="L85" i="5"/>
  <c r="O81" i="5"/>
  <c r="L81" i="5"/>
  <c r="M81" i="5"/>
  <c r="N81" i="5"/>
  <c r="O77" i="5"/>
  <c r="P77" i="5"/>
  <c r="L77" i="5"/>
  <c r="N77" i="5"/>
  <c r="O73" i="5"/>
  <c r="N73" i="5"/>
  <c r="P73" i="5"/>
  <c r="L69" i="5"/>
  <c r="P69" i="5"/>
  <c r="O69" i="5"/>
  <c r="N69" i="5"/>
  <c r="M69" i="5"/>
  <c r="L65" i="5"/>
  <c r="P65" i="5"/>
  <c r="N65" i="5"/>
  <c r="M65" i="5"/>
  <c r="L61" i="5"/>
  <c r="P61" i="5"/>
  <c r="M61" i="5"/>
  <c r="N61" i="5"/>
  <c r="O61" i="5"/>
  <c r="L57" i="5"/>
  <c r="P57" i="5"/>
  <c r="N57" i="5"/>
  <c r="L53" i="5"/>
  <c r="P53" i="5"/>
  <c r="O53" i="5"/>
  <c r="N53" i="5"/>
  <c r="L49" i="5"/>
  <c r="P49" i="5"/>
  <c r="N49" i="5"/>
  <c r="O49" i="5"/>
  <c r="L45" i="5"/>
  <c r="P45" i="5"/>
  <c r="M45" i="5"/>
  <c r="N45" i="5"/>
  <c r="L41" i="5"/>
  <c r="P41" i="5"/>
  <c r="M41" i="5"/>
  <c r="N41" i="5"/>
  <c r="L37" i="5"/>
  <c r="P37" i="5"/>
  <c r="O37" i="5"/>
  <c r="L33" i="5"/>
  <c r="P33" i="5"/>
  <c r="N33" i="5"/>
  <c r="O33" i="5"/>
  <c r="L29" i="5"/>
  <c r="P29" i="5"/>
  <c r="M29" i="5"/>
  <c r="O29" i="5"/>
  <c r="L25" i="5"/>
  <c r="P25" i="5"/>
  <c r="N25" i="5"/>
  <c r="M25" i="5"/>
  <c r="L21" i="5"/>
  <c r="P21" i="5"/>
  <c r="O21" i="5"/>
  <c r="M21" i="5"/>
  <c r="N21" i="5"/>
  <c r="L17" i="5"/>
  <c r="P17" i="5"/>
  <c r="N17" i="5"/>
  <c r="O17" i="5"/>
  <c r="L13" i="5"/>
  <c r="P13" i="5"/>
  <c r="M13" i="5"/>
  <c r="O13" i="5"/>
  <c r="N13" i="5"/>
  <c r="L9" i="5"/>
  <c r="P9" i="5"/>
  <c r="O9" i="5"/>
  <c r="L5" i="5"/>
  <c r="P5" i="5"/>
  <c r="O5" i="5"/>
  <c r="N5" i="5"/>
  <c r="L225" i="5"/>
  <c r="P221" i="5"/>
  <c r="O217" i="5"/>
  <c r="M213" i="5"/>
  <c r="L209" i="5"/>
  <c r="P205" i="5"/>
  <c r="O201" i="5"/>
  <c r="M197" i="5"/>
  <c r="L193" i="5"/>
  <c r="L189" i="5"/>
  <c r="P181" i="5"/>
  <c r="O177" i="5"/>
  <c r="N173" i="5"/>
  <c r="L169" i="5"/>
  <c r="P157" i="5"/>
  <c r="O153" i="5"/>
  <c r="N149" i="5"/>
  <c r="L145" i="5"/>
  <c r="P137" i="5"/>
  <c r="O133" i="5"/>
  <c r="N129" i="5"/>
  <c r="L125" i="5"/>
  <c r="P117" i="5"/>
  <c r="O113" i="5"/>
  <c r="N109" i="5"/>
  <c r="L101" i="5"/>
  <c r="L97" i="5"/>
  <c r="M93" i="5"/>
  <c r="M89" i="5"/>
  <c r="P81" i="5"/>
  <c r="O57" i="5"/>
  <c r="N37" i="5"/>
  <c r="M17" i="5"/>
</calcChain>
</file>

<file path=xl/sharedStrings.xml><?xml version="1.0" encoding="utf-8"?>
<sst xmlns="http://schemas.openxmlformats.org/spreadsheetml/2006/main" count="534" uniqueCount="71">
  <si>
    <t>Social</t>
  </si>
  <si>
    <t>BurnOut</t>
  </si>
  <si>
    <t>Sex</t>
  </si>
  <si>
    <t>F</t>
  </si>
  <si>
    <t>M</t>
  </si>
  <si>
    <t>Original data set</t>
  </si>
  <si>
    <t>Sex_M</t>
  </si>
  <si>
    <t>Dummy variable for Sex: 1=Male</t>
  </si>
  <si>
    <t xml:space="preserve">Regression for the model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</si>
  <si>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</si>
  <si>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</si>
  <si>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</si>
  <si>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</si>
  <si>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</si>
  <si>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</si>
  <si>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</si>
  <si>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</si>
  <si>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</si>
  <si>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</si>
  <si>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</si>
  <si>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</si>
  <si>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</si>
  <si>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</si>
  <si>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</si>
  <si>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</si>
  <si>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</si>
  <si>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</si>
  <si>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</si>
  <si>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</si>
  <si>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</si>
  <si>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</si>
  <si>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</si>
  <si>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Final equations</t>
  </si>
  <si>
    <t>For females</t>
  </si>
  <si>
    <t>For Males</t>
  </si>
  <si>
    <t>BurnOut = (-130.2+165.2) + 9.3*Social</t>
  </si>
  <si>
    <t>BurnOut = -130.2 + 9.3*Social</t>
  </si>
  <si>
    <t>Social:Sex_M</t>
  </si>
  <si>
    <t>BurnOut = 94.7 + 5.9*Social</t>
  </si>
  <si>
    <t>BurnOut = (94.7 - 329.8) + (5.9 + 7.4)*Social</t>
  </si>
  <si>
    <t>BurnOut = b0 + b0M*(Sex=Male) + b1*Social + b1M*(Sex=Male)*Social</t>
  </si>
  <si>
    <t xml:space="preserve">BurnOut = b0 + b0M*(Sex=Male) + b1*Social </t>
  </si>
  <si>
    <t>Weight</t>
  </si>
  <si>
    <t>Color</t>
  </si>
  <si>
    <t>Price</t>
  </si>
  <si>
    <t>D</t>
  </si>
  <si>
    <t>E</t>
  </si>
  <si>
    <t>G</t>
  </si>
  <si>
    <t>H</t>
  </si>
  <si>
    <t>I</t>
  </si>
  <si>
    <t>Color_E</t>
  </si>
  <si>
    <t>Color_F</t>
  </si>
  <si>
    <t>Color_G</t>
  </si>
  <si>
    <t>Color_H</t>
  </si>
  <si>
    <t>Color_I</t>
  </si>
  <si>
    <t>log_Weight</t>
  </si>
  <si>
    <t>Data set with dumy variables (NO Color_D; it's the reference level) and log weights and interactions</t>
  </si>
  <si>
    <t>log_Weight:Color_E</t>
  </si>
  <si>
    <t>log_Weight:Color_F</t>
  </si>
  <si>
    <t>log_Weight:Color_G</t>
  </si>
  <si>
    <t>log_Weight:Color_H</t>
  </si>
  <si>
    <t>log_Weight:Color_I</t>
  </si>
  <si>
    <t>log_Price</t>
  </si>
  <si>
    <t>Quarter</t>
  </si>
  <si>
    <t>Sales</t>
  </si>
  <si>
    <t>II</t>
  </si>
  <si>
    <t>III</t>
  </si>
  <si>
    <t>IV</t>
  </si>
  <si>
    <t>QII</t>
  </si>
  <si>
    <t>QIII</t>
  </si>
  <si>
    <t>QIV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</si>
</sst>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25</xdr:row>
      <xdr:rowOff>180975</xdr:rowOff>
    </xdr:from>
    <xdr:to>
      <xdr:col>14</xdr:col>
      <xdr:colOff>409068</xdr:colOff>
      <xdr:row>44</xdr:row>
      <xdr:rowOff>142427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5000625"/>
          <a:ext cx="4057143" cy="3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28</xdr:row>
      <xdr:rowOff>0</xdr:rowOff>
    </xdr:from>
    <xdr:to>
      <xdr:col>16</xdr:col>
      <xdr:colOff>399543</xdr:colOff>
      <xdr:row>46</xdr:row>
      <xdr:rowOff>151952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5391150"/>
          <a:ext cx="4057143" cy="35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438150</xdr:colOff>
      <xdr:row>0</xdr:row>
      <xdr:rowOff>57150</xdr:rowOff>
    </xdr:from>
    <xdr:to>
      <xdr:col>31</xdr:col>
      <xdr:colOff>228093</xdr:colOff>
      <xdr:row>18</xdr:row>
      <xdr:rowOff>171002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8475" y="57150"/>
          <a:ext cx="4057143" cy="3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L7" sqref="L7"/>
    </sheetView>
  </sheetViews>
  <sheetFormatPr defaultRowHeight="15"/>
  <sheetData>
    <row r="1" spans="1:16">
      <c r="A1" s="10" t="s">
        <v>63</v>
      </c>
      <c r="B1" s="10" t="s">
        <v>64</v>
      </c>
      <c r="D1" s="8" t="s">
        <v>68</v>
      </c>
      <c r="E1" s="8" t="s">
        <v>69</v>
      </c>
      <c r="F1" s="8" t="s">
        <v>70</v>
      </c>
      <c r="H1" t="s">
        <v>9</v>
      </c>
    </row>
    <row r="2" spans="1:16" ht="15.75" thickBot="1">
      <c r="A2" s="10" t="s">
        <v>49</v>
      </c>
      <c r="B2" s="8">
        <v>233.57</v>
      </c>
      <c r="D2" s="8">
        <v>0</v>
      </c>
      <c r="E2" s="8">
        <v>0</v>
      </c>
      <c r="F2" s="8">
        <v>0</v>
      </c>
    </row>
    <row r="3" spans="1:16">
      <c r="A3" s="10" t="s">
        <v>65</v>
      </c>
      <c r="B3" s="8">
        <v>271.97000000000003</v>
      </c>
      <c r="D3" s="8">
        <v>1</v>
      </c>
      <c r="E3" s="8">
        <v>0</v>
      </c>
      <c r="F3" s="8">
        <v>0</v>
      </c>
      <c r="H3" s="5" t="s">
        <v>10</v>
      </c>
      <c r="I3" s="5"/>
    </row>
    <row r="4" spans="1:16">
      <c r="A4" s="10" t="s">
        <v>66</v>
      </c>
      <c r="B4" s="8">
        <v>277.37</v>
      </c>
      <c r="D4" s="8">
        <v>0</v>
      </c>
      <c r="E4" s="8">
        <v>1</v>
      </c>
      <c r="F4" s="8">
        <v>0</v>
      </c>
      <c r="H4" s="2" t="s">
        <v>11</v>
      </c>
      <c r="I4" s="2">
        <v>0.97959028721980079</v>
      </c>
    </row>
    <row r="5" spans="1:16">
      <c r="A5" s="10" t="s">
        <v>67</v>
      </c>
      <c r="B5" s="8">
        <v>309.87</v>
      </c>
      <c r="D5" s="8">
        <v>0</v>
      </c>
      <c r="E5" s="8">
        <v>0</v>
      </c>
      <c r="F5" s="8">
        <v>1</v>
      </c>
      <c r="H5" s="2" t="s">
        <v>12</v>
      </c>
      <c r="I5" s="2">
        <v>0.9595971308153719</v>
      </c>
    </row>
    <row r="6" spans="1:16">
      <c r="A6" s="10" t="s">
        <v>49</v>
      </c>
      <c r="B6" s="8">
        <v>250.24</v>
      </c>
      <c r="D6" s="8">
        <v>0</v>
      </c>
      <c r="E6" s="8">
        <v>0</v>
      </c>
      <c r="F6" s="8">
        <v>0</v>
      </c>
      <c r="H6" s="2" t="s">
        <v>13</v>
      </c>
      <c r="I6" s="2">
        <v>0.95202159284325405</v>
      </c>
    </row>
    <row r="7" spans="1:16">
      <c r="A7" s="10" t="s">
        <v>65</v>
      </c>
      <c r="B7" s="8">
        <v>286.74</v>
      </c>
      <c r="D7" s="8">
        <v>1</v>
      </c>
      <c r="E7" s="8">
        <v>0</v>
      </c>
      <c r="F7" s="8">
        <v>0</v>
      </c>
      <c r="H7" s="2" t="s">
        <v>14</v>
      </c>
      <c r="I7" s="2">
        <v>5.8955703710497804</v>
      </c>
    </row>
    <row r="8" spans="1:16" ht="15.75" thickBot="1">
      <c r="A8" s="10" t="s">
        <v>66</v>
      </c>
      <c r="B8" s="8">
        <v>280.33999999999997</v>
      </c>
      <c r="D8" s="8">
        <v>0</v>
      </c>
      <c r="E8" s="8">
        <v>1</v>
      </c>
      <c r="F8" s="8">
        <v>0</v>
      </c>
      <c r="H8" s="3" t="s">
        <v>15</v>
      </c>
      <c r="I8" s="3">
        <v>20</v>
      </c>
    </row>
    <row r="9" spans="1:16">
      <c r="A9" s="10" t="s">
        <v>67</v>
      </c>
      <c r="B9" s="8">
        <v>313.44</v>
      </c>
      <c r="D9" s="8">
        <v>0</v>
      </c>
      <c r="E9" s="8">
        <v>0</v>
      </c>
      <c r="F9" s="8">
        <v>1</v>
      </c>
    </row>
    <row r="10" spans="1:16" ht="15.75" thickBot="1">
      <c r="A10" s="10" t="s">
        <v>49</v>
      </c>
      <c r="B10" s="8">
        <v>243.31</v>
      </c>
      <c r="D10" s="8">
        <v>0</v>
      </c>
      <c r="E10" s="8">
        <v>0</v>
      </c>
      <c r="F10" s="8">
        <v>0</v>
      </c>
      <c r="H10" t="s">
        <v>16</v>
      </c>
    </row>
    <row r="11" spans="1:16">
      <c r="A11" s="10" t="s">
        <v>65</v>
      </c>
      <c r="B11" s="8">
        <v>287.11</v>
      </c>
      <c r="D11" s="8">
        <v>1</v>
      </c>
      <c r="E11" s="8">
        <v>0</v>
      </c>
      <c r="F11" s="8">
        <v>0</v>
      </c>
      <c r="H11" s="4"/>
      <c r="I11" s="4" t="s">
        <v>21</v>
      </c>
      <c r="J11" s="4" t="s">
        <v>22</v>
      </c>
      <c r="K11" s="4" t="s">
        <v>23</v>
      </c>
      <c r="L11" s="4" t="s">
        <v>3</v>
      </c>
      <c r="M11" s="4" t="s">
        <v>24</v>
      </c>
    </row>
    <row r="12" spans="1:16">
      <c r="A12" s="10" t="s">
        <v>66</v>
      </c>
      <c r="B12" s="8">
        <v>289.51</v>
      </c>
      <c r="D12" s="8">
        <v>0</v>
      </c>
      <c r="E12" s="8">
        <v>1</v>
      </c>
      <c r="F12" s="8">
        <v>0</v>
      </c>
      <c r="H12" s="2" t="s">
        <v>17</v>
      </c>
      <c r="I12" s="2">
        <v>3</v>
      </c>
      <c r="J12" s="2">
        <v>13208.344000000005</v>
      </c>
      <c r="K12" s="2">
        <v>4402.7813333333352</v>
      </c>
      <c r="L12" s="2">
        <v>126.67049315140737</v>
      </c>
      <c r="M12" s="2">
        <v>2.3275671652649094E-11</v>
      </c>
    </row>
    <row r="13" spans="1:16">
      <c r="A13" s="10" t="s">
        <v>67</v>
      </c>
      <c r="B13" s="8">
        <v>312.91000000000003</v>
      </c>
      <c r="D13" s="8">
        <v>0</v>
      </c>
      <c r="E13" s="8">
        <v>0</v>
      </c>
      <c r="F13" s="8">
        <v>1</v>
      </c>
      <c r="H13" s="2" t="s">
        <v>18</v>
      </c>
      <c r="I13" s="2">
        <v>16</v>
      </c>
      <c r="J13" s="2">
        <v>556.12400000000071</v>
      </c>
      <c r="K13" s="2">
        <v>34.757750000000044</v>
      </c>
      <c r="L13" s="2"/>
      <c r="M13" s="2"/>
    </row>
    <row r="14" spans="1:16" ht="15.75" thickBot="1">
      <c r="A14" s="10" t="s">
        <v>49</v>
      </c>
      <c r="B14" s="8">
        <v>237.78</v>
      </c>
      <c r="D14" s="8">
        <v>0</v>
      </c>
      <c r="E14" s="8">
        <v>0</v>
      </c>
      <c r="F14" s="8">
        <v>0</v>
      </c>
      <c r="H14" s="3" t="s">
        <v>19</v>
      </c>
      <c r="I14" s="3">
        <v>19</v>
      </c>
      <c r="J14" s="3">
        <v>13764.468000000004</v>
      </c>
      <c r="K14" s="3"/>
      <c r="L14" s="3"/>
      <c r="M14" s="3"/>
    </row>
    <row r="15" spans="1:16" ht="15.75" thickBot="1">
      <c r="A15" s="10" t="s">
        <v>65</v>
      </c>
      <c r="B15" s="8">
        <v>279.77999999999997</v>
      </c>
      <c r="D15" s="8">
        <v>1</v>
      </c>
      <c r="E15" s="8">
        <v>0</v>
      </c>
      <c r="F15" s="8">
        <v>0</v>
      </c>
    </row>
    <row r="16" spans="1:16">
      <c r="A16" s="10" t="s">
        <v>66</v>
      </c>
      <c r="B16" s="8">
        <v>287.68</v>
      </c>
      <c r="D16" s="8">
        <v>0</v>
      </c>
      <c r="E16" s="8">
        <v>1</v>
      </c>
      <c r="F16" s="8">
        <v>0</v>
      </c>
      <c r="H16" s="4"/>
      <c r="I16" s="4" t="s">
        <v>25</v>
      </c>
      <c r="J16" s="4" t="s">
        <v>14</v>
      </c>
      <c r="K16" s="4" t="s">
        <v>26</v>
      </c>
      <c r="L16" s="4" t="s">
        <v>27</v>
      </c>
      <c r="M16" s="4" t="s">
        <v>28</v>
      </c>
      <c r="N16" s="4" t="s">
        <v>29</v>
      </c>
      <c r="O16" s="4" t="s">
        <v>30</v>
      </c>
      <c r="P16" s="4" t="s">
        <v>31</v>
      </c>
    </row>
    <row r="17" spans="1:16">
      <c r="A17" s="10" t="s">
        <v>67</v>
      </c>
      <c r="B17" s="8">
        <v>313.48</v>
      </c>
      <c r="D17" s="8">
        <v>0</v>
      </c>
      <c r="E17" s="8">
        <v>0</v>
      </c>
      <c r="F17" s="8">
        <v>1</v>
      </c>
      <c r="H17" s="2" t="s">
        <v>20</v>
      </c>
      <c r="I17" s="2">
        <v>239.07</v>
      </c>
      <c r="J17" s="2">
        <v>2.6365792231601937</v>
      </c>
      <c r="K17" s="2">
        <v>90.67430930956499</v>
      </c>
      <c r="L17" s="2">
        <v>3.9804387299987337E-23</v>
      </c>
      <c r="M17" s="2">
        <v>233.48070173300604</v>
      </c>
      <c r="N17" s="2">
        <v>244.65929826699394</v>
      </c>
      <c r="O17" s="2">
        <v>233.48070173300604</v>
      </c>
      <c r="P17" s="2">
        <v>244.65929826699394</v>
      </c>
    </row>
    <row r="18" spans="1:16">
      <c r="A18" s="10" t="s">
        <v>49</v>
      </c>
      <c r="B18" s="8">
        <v>230.45</v>
      </c>
      <c r="D18" s="8">
        <v>0</v>
      </c>
      <c r="E18" s="8">
        <v>0</v>
      </c>
      <c r="F18" s="8">
        <v>0</v>
      </c>
      <c r="H18" s="2" t="s">
        <v>68</v>
      </c>
      <c r="I18" s="2">
        <v>42.320000000000014</v>
      </c>
      <c r="J18" s="2">
        <v>3.7286860956642647</v>
      </c>
      <c r="K18" s="2">
        <v>11.349842522064254</v>
      </c>
      <c r="L18" s="2">
        <v>4.5912006886595811E-9</v>
      </c>
      <c r="M18" s="2">
        <v>34.415538586668731</v>
      </c>
      <c r="N18" s="2">
        <v>50.224461413331298</v>
      </c>
      <c r="O18" s="2">
        <v>34.415538586668731</v>
      </c>
      <c r="P18" s="2">
        <v>50.224461413331298</v>
      </c>
    </row>
    <row r="19" spans="1:16">
      <c r="A19" s="10" t="s">
        <v>65</v>
      </c>
      <c r="B19" s="8">
        <v>281.35000000000002</v>
      </c>
      <c r="D19" s="8">
        <v>1</v>
      </c>
      <c r="E19" s="8">
        <v>0</v>
      </c>
      <c r="F19" s="8">
        <v>0</v>
      </c>
      <c r="H19" s="2" t="s">
        <v>69</v>
      </c>
      <c r="I19" s="2">
        <v>44.240000000000009</v>
      </c>
      <c r="J19" s="2">
        <v>3.7286860956642651</v>
      </c>
      <c r="K19" s="2">
        <v>11.864769214936731</v>
      </c>
      <c r="L19" s="2">
        <v>2.4241795132594451E-9</v>
      </c>
      <c r="M19" s="2">
        <v>36.335538586668719</v>
      </c>
      <c r="N19" s="2">
        <v>52.1444614133313</v>
      </c>
      <c r="O19" s="2">
        <v>36.335538586668719</v>
      </c>
      <c r="P19" s="2">
        <v>52.1444614133313</v>
      </c>
    </row>
    <row r="20" spans="1:16" ht="15.75" thickBot="1">
      <c r="A20" s="10" t="s">
        <v>66</v>
      </c>
      <c r="B20" s="8">
        <v>281.64999999999998</v>
      </c>
      <c r="D20" s="8">
        <v>0</v>
      </c>
      <c r="E20" s="8">
        <v>1</v>
      </c>
      <c r="F20" s="8">
        <v>0</v>
      </c>
      <c r="H20" s="3" t="s">
        <v>70</v>
      </c>
      <c r="I20" s="3">
        <v>71.920000000000016</v>
      </c>
      <c r="J20" s="3">
        <v>3.7286860956642651</v>
      </c>
      <c r="K20" s="3">
        <v>19.28829570384832</v>
      </c>
      <c r="L20" s="3">
        <v>1.6717545456338865E-12</v>
      </c>
      <c r="M20" s="3">
        <v>64.015538586668725</v>
      </c>
      <c r="N20" s="3">
        <v>79.824461413331306</v>
      </c>
      <c r="O20" s="3">
        <v>64.015538586668725</v>
      </c>
      <c r="P20" s="3">
        <v>79.824461413331306</v>
      </c>
    </row>
    <row r="21" spans="1:16">
      <c r="A21" s="10" t="s">
        <v>67</v>
      </c>
      <c r="B21" s="8">
        <v>305.25</v>
      </c>
      <c r="D21" s="8">
        <v>0</v>
      </c>
      <c r="E21" s="8">
        <v>0</v>
      </c>
      <c r="F21" s="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/>
  </sheetViews>
  <sheetFormatPr defaultRowHeight="15"/>
  <sheetData>
    <row r="1" spans="1:10">
      <c r="E1" t="s">
        <v>8</v>
      </c>
    </row>
    <row r="2" spans="1:10">
      <c r="E2" t="s">
        <v>41</v>
      </c>
    </row>
    <row r="4" spans="1:10">
      <c r="A4" s="9" t="s">
        <v>5</v>
      </c>
      <c r="B4" s="9"/>
      <c r="C4" s="9"/>
      <c r="E4" s="9" t="s">
        <v>7</v>
      </c>
      <c r="F4" s="9"/>
      <c r="G4" s="9"/>
    </row>
    <row r="6" spans="1:10">
      <c r="A6" t="s">
        <v>1</v>
      </c>
      <c r="B6" t="s">
        <v>0</v>
      </c>
      <c r="C6" t="s">
        <v>2</v>
      </c>
      <c r="E6" t="s">
        <v>1</v>
      </c>
      <c r="F6" t="s">
        <v>0</v>
      </c>
      <c r="G6" t="s">
        <v>6</v>
      </c>
    </row>
    <row r="7" spans="1:10">
      <c r="A7">
        <v>296</v>
      </c>
      <c r="B7">
        <v>12</v>
      </c>
      <c r="C7" t="s">
        <v>3</v>
      </c>
      <c r="E7">
        <v>296</v>
      </c>
      <c r="F7">
        <v>12</v>
      </c>
      <c r="G7">
        <v>0</v>
      </c>
      <c r="I7" t="s">
        <v>9</v>
      </c>
    </row>
    <row r="8" spans="1:10" ht="15.75" thickBot="1">
      <c r="A8">
        <v>120</v>
      </c>
      <c r="B8">
        <v>35</v>
      </c>
      <c r="C8" t="s">
        <v>3</v>
      </c>
      <c r="E8">
        <v>120</v>
      </c>
      <c r="F8">
        <v>35</v>
      </c>
      <c r="G8">
        <v>0</v>
      </c>
    </row>
    <row r="9" spans="1:10">
      <c r="A9">
        <v>525</v>
      </c>
      <c r="B9">
        <v>60</v>
      </c>
      <c r="C9" t="s">
        <v>3</v>
      </c>
      <c r="E9">
        <v>525</v>
      </c>
      <c r="F9">
        <v>60</v>
      </c>
      <c r="G9">
        <v>0</v>
      </c>
      <c r="I9" s="5" t="s">
        <v>10</v>
      </c>
      <c r="J9" s="5"/>
    </row>
    <row r="10" spans="1:10">
      <c r="A10">
        <v>410</v>
      </c>
      <c r="B10">
        <v>68</v>
      </c>
      <c r="C10" t="s">
        <v>3</v>
      </c>
      <c r="E10">
        <v>410</v>
      </c>
      <c r="F10">
        <v>68</v>
      </c>
      <c r="G10">
        <v>0</v>
      </c>
      <c r="I10" s="2" t="s">
        <v>11</v>
      </c>
      <c r="J10" s="2">
        <v>0.87562942087531914</v>
      </c>
    </row>
    <row r="11" spans="1:10">
      <c r="A11">
        <v>501</v>
      </c>
      <c r="B11">
        <v>70</v>
      </c>
      <c r="C11" t="s">
        <v>3</v>
      </c>
      <c r="E11">
        <v>501</v>
      </c>
      <c r="F11">
        <v>70</v>
      </c>
      <c r="G11">
        <v>0</v>
      </c>
      <c r="I11" s="2" t="s">
        <v>12</v>
      </c>
      <c r="J11" s="2">
        <v>0.76672688270244682</v>
      </c>
    </row>
    <row r="12" spans="1:10">
      <c r="A12">
        <v>600</v>
      </c>
      <c r="B12">
        <v>75</v>
      </c>
      <c r="C12" t="s">
        <v>3</v>
      </c>
      <c r="E12">
        <v>600</v>
      </c>
      <c r="F12">
        <v>75</v>
      </c>
      <c r="G12">
        <v>0</v>
      </c>
      <c r="I12" s="2" t="s">
        <v>13</v>
      </c>
      <c r="J12" s="2">
        <v>0.73928298654979352</v>
      </c>
    </row>
    <row r="13" spans="1:10">
      <c r="A13">
        <v>506</v>
      </c>
      <c r="B13">
        <v>77</v>
      </c>
      <c r="C13" t="s">
        <v>3</v>
      </c>
      <c r="E13">
        <v>506</v>
      </c>
      <c r="F13">
        <v>77</v>
      </c>
      <c r="G13">
        <v>0</v>
      </c>
      <c r="I13" s="2" t="s">
        <v>14</v>
      </c>
      <c r="J13" s="2">
        <v>138.26851795887436</v>
      </c>
    </row>
    <row r="14" spans="1:10" ht="15.75" thickBot="1">
      <c r="A14">
        <v>527</v>
      </c>
      <c r="B14">
        <v>79</v>
      </c>
      <c r="C14" t="s">
        <v>3</v>
      </c>
      <c r="E14">
        <v>527</v>
      </c>
      <c r="F14">
        <v>79</v>
      </c>
      <c r="G14">
        <v>0</v>
      </c>
      <c r="I14" s="3" t="s">
        <v>15</v>
      </c>
      <c r="J14" s="3">
        <v>20</v>
      </c>
    </row>
    <row r="15" spans="1:10">
      <c r="A15">
        <v>493</v>
      </c>
      <c r="B15">
        <v>86</v>
      </c>
      <c r="C15" t="s">
        <v>3</v>
      </c>
      <c r="E15">
        <v>493</v>
      </c>
      <c r="F15">
        <v>86</v>
      </c>
      <c r="G15">
        <v>0</v>
      </c>
    </row>
    <row r="16" spans="1:10" ht="15.75" thickBot="1">
      <c r="A16">
        <v>810</v>
      </c>
      <c r="B16">
        <v>92</v>
      </c>
      <c r="C16" t="s">
        <v>3</v>
      </c>
      <c r="E16">
        <v>810</v>
      </c>
      <c r="F16">
        <v>92</v>
      </c>
      <c r="G16">
        <v>0</v>
      </c>
      <c r="I16" t="s">
        <v>16</v>
      </c>
    </row>
    <row r="17" spans="1:17">
      <c r="A17">
        <v>100</v>
      </c>
      <c r="B17">
        <v>20</v>
      </c>
      <c r="C17" t="s">
        <v>4</v>
      </c>
      <c r="E17">
        <v>100</v>
      </c>
      <c r="F17">
        <v>20</v>
      </c>
      <c r="G17">
        <v>1</v>
      </c>
      <c r="I17" s="4"/>
      <c r="J17" s="4" t="s">
        <v>21</v>
      </c>
      <c r="K17" s="4" t="s">
        <v>22</v>
      </c>
      <c r="L17" s="4" t="s">
        <v>23</v>
      </c>
      <c r="M17" s="4" t="s">
        <v>3</v>
      </c>
      <c r="N17" s="4" t="s">
        <v>24</v>
      </c>
    </row>
    <row r="18" spans="1:17">
      <c r="A18">
        <v>300</v>
      </c>
      <c r="B18">
        <v>38</v>
      </c>
      <c r="C18" t="s">
        <v>4</v>
      </c>
      <c r="E18">
        <v>300</v>
      </c>
      <c r="F18">
        <v>38</v>
      </c>
      <c r="G18">
        <v>1</v>
      </c>
      <c r="I18" s="2" t="s">
        <v>17</v>
      </c>
      <c r="J18" s="2">
        <v>2</v>
      </c>
      <c r="K18" s="2">
        <v>1068246.6380047596</v>
      </c>
      <c r="L18" s="2">
        <v>534123.31900237978</v>
      </c>
      <c r="M18" s="2">
        <v>27.93797493029496</v>
      </c>
      <c r="N18" s="2">
        <v>4.2349656349994131E-6</v>
      </c>
    </row>
    <row r="19" spans="1:17">
      <c r="A19">
        <v>310</v>
      </c>
      <c r="B19">
        <v>59</v>
      </c>
      <c r="C19" t="s">
        <v>4</v>
      </c>
      <c r="E19">
        <v>310</v>
      </c>
      <c r="F19">
        <v>59</v>
      </c>
      <c r="G19">
        <v>1</v>
      </c>
      <c r="I19" s="2" t="s">
        <v>18</v>
      </c>
      <c r="J19" s="2">
        <v>17</v>
      </c>
      <c r="K19" s="2">
        <v>325009.1119952405</v>
      </c>
      <c r="L19" s="2">
        <v>19118.18305854356</v>
      </c>
      <c r="M19" s="2"/>
      <c r="N19" s="2"/>
    </row>
    <row r="20" spans="1:17" ht="15.75" thickBot="1">
      <c r="A20">
        <v>709</v>
      </c>
      <c r="B20">
        <v>75</v>
      </c>
      <c r="C20" t="s">
        <v>4</v>
      </c>
      <c r="E20">
        <v>709</v>
      </c>
      <c r="F20">
        <v>75</v>
      </c>
      <c r="G20">
        <v>1</v>
      </c>
      <c r="I20" s="3" t="s">
        <v>19</v>
      </c>
      <c r="J20" s="3">
        <v>19</v>
      </c>
      <c r="K20" s="3">
        <v>1393255.75</v>
      </c>
      <c r="L20" s="3"/>
      <c r="M20" s="3"/>
      <c r="N20" s="3"/>
    </row>
    <row r="21" spans="1:17" ht="15.75" thickBot="1">
      <c r="A21">
        <v>791</v>
      </c>
      <c r="B21">
        <v>77</v>
      </c>
      <c r="C21" t="s">
        <v>4</v>
      </c>
      <c r="E21">
        <v>791</v>
      </c>
      <c r="F21">
        <v>77</v>
      </c>
      <c r="G21">
        <v>1</v>
      </c>
    </row>
    <row r="22" spans="1:17">
      <c r="A22">
        <v>920</v>
      </c>
      <c r="B22">
        <v>80</v>
      </c>
      <c r="C22" t="s">
        <v>4</v>
      </c>
      <c r="E22">
        <v>920</v>
      </c>
      <c r="F22">
        <v>80</v>
      </c>
      <c r="G22">
        <v>1</v>
      </c>
      <c r="I22" s="4"/>
      <c r="J22" s="4" t="s">
        <v>25</v>
      </c>
      <c r="K22" s="4" t="s">
        <v>14</v>
      </c>
      <c r="L22" s="4" t="s">
        <v>26</v>
      </c>
      <c r="M22" s="4" t="s">
        <v>27</v>
      </c>
      <c r="N22" s="4" t="s">
        <v>28</v>
      </c>
      <c r="O22" s="4" t="s">
        <v>29</v>
      </c>
      <c r="P22" s="4" t="s">
        <v>30</v>
      </c>
      <c r="Q22" s="4" t="s">
        <v>31</v>
      </c>
    </row>
    <row r="23" spans="1:17">
      <c r="A23">
        <v>855</v>
      </c>
      <c r="B23">
        <v>81</v>
      </c>
      <c r="C23" t="s">
        <v>4</v>
      </c>
      <c r="E23">
        <v>855</v>
      </c>
      <c r="F23">
        <v>81</v>
      </c>
      <c r="G23">
        <v>1</v>
      </c>
      <c r="I23" s="2" t="s">
        <v>20</v>
      </c>
      <c r="J23" s="2">
        <v>-130.19826259420822</v>
      </c>
      <c r="K23" s="2">
        <v>100.10422159514407</v>
      </c>
      <c r="L23" s="2">
        <v>-1.3006270916402987</v>
      </c>
      <c r="M23" s="2">
        <v>0.21074178736642729</v>
      </c>
      <c r="N23" s="2">
        <v>-341.3997087225215</v>
      </c>
      <c r="O23" s="2">
        <v>81.003183534105062</v>
      </c>
      <c r="P23" s="2">
        <v>-341.3997087225215</v>
      </c>
      <c r="Q23" s="2">
        <v>81.003183534105062</v>
      </c>
    </row>
    <row r="24" spans="1:17">
      <c r="A24">
        <v>892</v>
      </c>
      <c r="B24">
        <v>83</v>
      </c>
      <c r="C24" t="s">
        <v>4</v>
      </c>
      <c r="E24">
        <v>892</v>
      </c>
      <c r="F24">
        <v>83</v>
      </c>
      <c r="G24">
        <v>1</v>
      </c>
      <c r="I24" s="2" t="s">
        <v>0</v>
      </c>
      <c r="J24" s="2">
        <v>9.3119000396667939</v>
      </c>
      <c r="K24" s="2">
        <v>1.3769142334515934</v>
      </c>
      <c r="L24" s="2">
        <v>6.762875866512104</v>
      </c>
      <c r="M24" s="2">
        <v>3.316661972628039E-6</v>
      </c>
      <c r="N24" s="2">
        <v>6.4068649405902018</v>
      </c>
      <c r="O24" s="2">
        <v>12.216935138743386</v>
      </c>
      <c r="P24" s="2">
        <v>6.4068649405902018</v>
      </c>
      <c r="Q24" s="2">
        <v>12.216935138743386</v>
      </c>
    </row>
    <row r="25" spans="1:17" ht="15.75" thickBot="1">
      <c r="A25">
        <v>900</v>
      </c>
      <c r="B25">
        <v>87</v>
      </c>
      <c r="C25" t="s">
        <v>4</v>
      </c>
      <c r="E25">
        <v>900</v>
      </c>
      <c r="F25">
        <v>87</v>
      </c>
      <c r="G25">
        <v>1</v>
      </c>
      <c r="I25" s="3" t="s">
        <v>6</v>
      </c>
      <c r="J25" s="3">
        <v>165.23953986513283</v>
      </c>
      <c r="K25" s="3">
        <v>62.012523997571066</v>
      </c>
      <c r="L25" s="3">
        <v>2.6646156165423132</v>
      </c>
      <c r="M25" s="3">
        <v>1.633648433225723E-2</v>
      </c>
      <c r="N25" s="3">
        <v>34.404550714294999</v>
      </c>
      <c r="O25" s="3">
        <v>296.07452901597065</v>
      </c>
      <c r="P25" s="3">
        <v>34.404550714294999</v>
      </c>
      <c r="Q25" s="3">
        <v>296.07452901597065</v>
      </c>
    </row>
    <row r="26" spans="1:17">
      <c r="A26">
        <v>980</v>
      </c>
      <c r="B26">
        <v>88</v>
      </c>
      <c r="C26" t="s">
        <v>4</v>
      </c>
      <c r="E26">
        <v>980</v>
      </c>
      <c r="F26">
        <v>88</v>
      </c>
      <c r="G26">
        <v>1</v>
      </c>
    </row>
    <row r="29" spans="1:17">
      <c r="E29" t="s">
        <v>32</v>
      </c>
    </row>
    <row r="31" spans="1:17">
      <c r="E31" t="s">
        <v>33</v>
      </c>
    </row>
    <row r="32" spans="1:17">
      <c r="E32" t="s">
        <v>36</v>
      </c>
    </row>
    <row r="34" spans="5:5">
      <c r="E34" t="s">
        <v>34</v>
      </c>
    </row>
    <row r="35" spans="5:5">
      <c r="E35" t="s">
        <v>35</v>
      </c>
    </row>
  </sheetData>
  <mergeCells count="2">
    <mergeCell ref="E4:G4"/>
    <mergeCell ref="A4:C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/>
  </sheetViews>
  <sheetFormatPr defaultRowHeight="15"/>
  <sheetData>
    <row r="1" spans="1:12">
      <c r="E1" t="s">
        <v>8</v>
      </c>
    </row>
    <row r="2" spans="1:12">
      <c r="E2" t="s">
        <v>40</v>
      </c>
    </row>
    <row r="4" spans="1:12">
      <c r="A4" s="9" t="s">
        <v>5</v>
      </c>
      <c r="B4" s="9"/>
      <c r="C4" s="9"/>
      <c r="D4" s="1"/>
      <c r="E4" s="6"/>
      <c r="F4" s="6"/>
      <c r="G4" s="6"/>
    </row>
    <row r="6" spans="1:12">
      <c r="A6" t="s">
        <v>1</v>
      </c>
      <c r="B6" t="s">
        <v>0</v>
      </c>
      <c r="C6" t="s">
        <v>2</v>
      </c>
      <c r="E6" t="s">
        <v>1</v>
      </c>
      <c r="F6" t="s">
        <v>0</v>
      </c>
      <c r="G6" t="s">
        <v>6</v>
      </c>
      <c r="H6" t="s">
        <v>37</v>
      </c>
    </row>
    <row r="7" spans="1:12">
      <c r="A7">
        <v>296</v>
      </c>
      <c r="B7">
        <v>12</v>
      </c>
      <c r="C7" t="s">
        <v>3</v>
      </c>
      <c r="E7">
        <v>296</v>
      </c>
      <c r="F7">
        <v>12</v>
      </c>
      <c r="G7">
        <v>0</v>
      </c>
      <c r="H7">
        <f>G7*F7</f>
        <v>0</v>
      </c>
      <c r="K7" t="s">
        <v>9</v>
      </c>
    </row>
    <row r="8" spans="1:12" ht="15.75" thickBot="1">
      <c r="A8">
        <v>120</v>
      </c>
      <c r="B8">
        <v>35</v>
      </c>
      <c r="C8" t="s">
        <v>3</v>
      </c>
      <c r="E8">
        <v>120</v>
      </c>
      <c r="F8">
        <v>35</v>
      </c>
      <c r="G8">
        <v>0</v>
      </c>
      <c r="H8">
        <f t="shared" ref="H8:H26" si="0">G8*F8</f>
        <v>0</v>
      </c>
    </row>
    <row r="9" spans="1:12">
      <c r="A9">
        <v>525</v>
      </c>
      <c r="B9">
        <v>60</v>
      </c>
      <c r="C9" t="s">
        <v>3</v>
      </c>
      <c r="E9">
        <v>525</v>
      </c>
      <c r="F9">
        <v>60</v>
      </c>
      <c r="G9">
        <v>0</v>
      </c>
      <c r="H9">
        <f t="shared" si="0"/>
        <v>0</v>
      </c>
      <c r="K9" s="5" t="s">
        <v>10</v>
      </c>
      <c r="L9" s="5"/>
    </row>
    <row r="10" spans="1:12">
      <c r="A10">
        <v>410</v>
      </c>
      <c r="B10">
        <v>68</v>
      </c>
      <c r="C10" t="s">
        <v>3</v>
      </c>
      <c r="E10">
        <v>410</v>
      </c>
      <c r="F10">
        <v>68</v>
      </c>
      <c r="G10">
        <v>0</v>
      </c>
      <c r="H10">
        <f t="shared" si="0"/>
        <v>0</v>
      </c>
      <c r="K10" s="2" t="s">
        <v>11</v>
      </c>
      <c r="L10" s="2">
        <v>0.92975057192701827</v>
      </c>
    </row>
    <row r="11" spans="1:12">
      <c r="A11">
        <v>501</v>
      </c>
      <c r="B11">
        <v>70</v>
      </c>
      <c r="C11" t="s">
        <v>3</v>
      </c>
      <c r="E11">
        <v>501</v>
      </c>
      <c r="F11">
        <v>70</v>
      </c>
      <c r="G11">
        <v>0</v>
      </c>
      <c r="H11">
        <f t="shared" si="0"/>
        <v>0</v>
      </c>
      <c r="K11" s="2" t="s">
        <v>12</v>
      </c>
      <c r="L11" s="2">
        <v>0.86443612599861752</v>
      </c>
    </row>
    <row r="12" spans="1:12">
      <c r="A12">
        <v>600</v>
      </c>
      <c r="B12">
        <v>75</v>
      </c>
      <c r="C12" t="s">
        <v>3</v>
      </c>
      <c r="E12">
        <v>600</v>
      </c>
      <c r="F12">
        <v>75</v>
      </c>
      <c r="G12">
        <v>0</v>
      </c>
      <c r="H12">
        <f t="shared" si="0"/>
        <v>0</v>
      </c>
      <c r="K12" s="2" t="s">
        <v>13</v>
      </c>
      <c r="L12" s="2">
        <v>0.83901789962335838</v>
      </c>
    </row>
    <row r="13" spans="1:12">
      <c r="A13">
        <v>506</v>
      </c>
      <c r="B13">
        <v>77</v>
      </c>
      <c r="C13" t="s">
        <v>3</v>
      </c>
      <c r="E13">
        <v>506</v>
      </c>
      <c r="F13">
        <v>77</v>
      </c>
      <c r="G13">
        <v>0</v>
      </c>
      <c r="H13">
        <f t="shared" si="0"/>
        <v>0</v>
      </c>
      <c r="K13" s="2" t="s">
        <v>14</v>
      </c>
      <c r="L13" s="2">
        <v>108.64942100188044</v>
      </c>
    </row>
    <row r="14" spans="1:12" ht="15.75" thickBot="1">
      <c r="A14">
        <v>527</v>
      </c>
      <c r="B14">
        <v>79</v>
      </c>
      <c r="C14" t="s">
        <v>3</v>
      </c>
      <c r="E14">
        <v>527</v>
      </c>
      <c r="F14">
        <v>79</v>
      </c>
      <c r="G14">
        <v>0</v>
      </c>
      <c r="H14">
        <f t="shared" si="0"/>
        <v>0</v>
      </c>
      <c r="K14" s="3" t="s">
        <v>15</v>
      </c>
      <c r="L14" s="3">
        <v>20</v>
      </c>
    </row>
    <row r="15" spans="1:12">
      <c r="A15">
        <v>493</v>
      </c>
      <c r="B15">
        <v>86</v>
      </c>
      <c r="C15" t="s">
        <v>3</v>
      </c>
      <c r="E15">
        <v>493</v>
      </c>
      <c r="F15">
        <v>86</v>
      </c>
      <c r="G15">
        <v>0</v>
      </c>
      <c r="H15">
        <f t="shared" si="0"/>
        <v>0</v>
      </c>
    </row>
    <row r="16" spans="1:12" ht="15.75" thickBot="1">
      <c r="A16">
        <v>810</v>
      </c>
      <c r="B16">
        <v>92</v>
      </c>
      <c r="C16" t="s">
        <v>3</v>
      </c>
      <c r="E16">
        <v>810</v>
      </c>
      <c r="F16">
        <v>92</v>
      </c>
      <c r="G16">
        <v>0</v>
      </c>
      <c r="H16">
        <f t="shared" si="0"/>
        <v>0</v>
      </c>
      <c r="K16" t="s">
        <v>16</v>
      </c>
    </row>
    <row r="17" spans="1:19">
      <c r="A17">
        <v>100</v>
      </c>
      <c r="B17">
        <v>20</v>
      </c>
      <c r="C17" t="s">
        <v>4</v>
      </c>
      <c r="E17">
        <v>100</v>
      </c>
      <c r="F17">
        <v>20</v>
      </c>
      <c r="G17">
        <v>1</v>
      </c>
      <c r="H17">
        <f t="shared" si="0"/>
        <v>20</v>
      </c>
      <c r="K17" s="4"/>
      <c r="L17" s="4" t="s">
        <v>21</v>
      </c>
      <c r="M17" s="4" t="s">
        <v>22</v>
      </c>
      <c r="N17" s="4" t="s">
        <v>23</v>
      </c>
      <c r="O17" s="4" t="s">
        <v>3</v>
      </c>
      <c r="P17" s="4" t="s">
        <v>24</v>
      </c>
    </row>
    <row r="18" spans="1:19">
      <c r="A18">
        <v>300</v>
      </c>
      <c r="B18">
        <v>38</v>
      </c>
      <c r="C18" t="s">
        <v>4</v>
      </c>
      <c r="E18">
        <v>300</v>
      </c>
      <c r="F18">
        <v>38</v>
      </c>
      <c r="G18">
        <v>1</v>
      </c>
      <c r="H18">
        <f t="shared" si="0"/>
        <v>38</v>
      </c>
      <c r="K18" s="2" t="s">
        <v>17</v>
      </c>
      <c r="L18" s="2">
        <v>3</v>
      </c>
      <c r="M18" s="2">
        <v>1204380.6030552983</v>
      </c>
      <c r="N18" s="2">
        <v>401460.2010184328</v>
      </c>
      <c r="O18" s="2">
        <v>34.008514726268011</v>
      </c>
      <c r="P18" s="2">
        <v>3.5711190022134512E-7</v>
      </c>
    </row>
    <row r="19" spans="1:19">
      <c r="A19">
        <v>310</v>
      </c>
      <c r="B19">
        <v>59</v>
      </c>
      <c r="C19" t="s">
        <v>4</v>
      </c>
      <c r="E19">
        <v>310</v>
      </c>
      <c r="F19">
        <v>59</v>
      </c>
      <c r="G19">
        <v>1</v>
      </c>
      <c r="H19">
        <f t="shared" si="0"/>
        <v>59</v>
      </c>
      <c r="K19" s="2" t="s">
        <v>18</v>
      </c>
      <c r="L19" s="2">
        <v>16</v>
      </c>
      <c r="M19" s="2">
        <v>188875.14694470176</v>
      </c>
      <c r="N19" s="2">
        <v>11804.69668404386</v>
      </c>
      <c r="O19" s="2"/>
      <c r="P19" s="2"/>
    </row>
    <row r="20" spans="1:19" ht="15.75" thickBot="1">
      <c r="A20">
        <v>709</v>
      </c>
      <c r="B20">
        <v>75</v>
      </c>
      <c r="C20" t="s">
        <v>4</v>
      </c>
      <c r="E20">
        <v>709</v>
      </c>
      <c r="F20">
        <v>75</v>
      </c>
      <c r="G20">
        <v>1</v>
      </c>
      <c r="H20">
        <f t="shared" si="0"/>
        <v>75</v>
      </c>
      <c r="K20" s="3" t="s">
        <v>19</v>
      </c>
      <c r="L20" s="3">
        <v>19</v>
      </c>
      <c r="M20" s="3">
        <v>1393255.75</v>
      </c>
      <c r="N20" s="3"/>
      <c r="O20" s="3"/>
      <c r="P20" s="3"/>
    </row>
    <row r="21" spans="1:19" ht="15.75" thickBot="1">
      <c r="A21">
        <v>791</v>
      </c>
      <c r="B21">
        <v>77</v>
      </c>
      <c r="C21" t="s">
        <v>4</v>
      </c>
      <c r="E21">
        <v>791</v>
      </c>
      <c r="F21">
        <v>77</v>
      </c>
      <c r="G21">
        <v>1</v>
      </c>
      <c r="H21">
        <f t="shared" si="0"/>
        <v>77</v>
      </c>
    </row>
    <row r="22" spans="1:19">
      <c r="A22">
        <v>920</v>
      </c>
      <c r="B22">
        <v>80</v>
      </c>
      <c r="C22" t="s">
        <v>4</v>
      </c>
      <c r="E22">
        <v>920</v>
      </c>
      <c r="F22">
        <v>80</v>
      </c>
      <c r="G22">
        <v>1</v>
      </c>
      <c r="H22">
        <f t="shared" si="0"/>
        <v>80</v>
      </c>
      <c r="K22" s="4"/>
      <c r="L22" s="4" t="s">
        <v>25</v>
      </c>
      <c r="M22" s="4" t="s">
        <v>14</v>
      </c>
      <c r="N22" s="4" t="s">
        <v>26</v>
      </c>
      <c r="O22" s="4" t="s">
        <v>27</v>
      </c>
      <c r="P22" s="4" t="s">
        <v>28</v>
      </c>
      <c r="Q22" s="4" t="s">
        <v>29</v>
      </c>
      <c r="R22" s="4" t="s">
        <v>30</v>
      </c>
      <c r="S22" s="4" t="s">
        <v>31</v>
      </c>
    </row>
    <row r="23" spans="1:19">
      <c r="A23">
        <v>855</v>
      </c>
      <c r="B23">
        <v>81</v>
      </c>
      <c r="C23" t="s">
        <v>4</v>
      </c>
      <c r="E23">
        <v>855</v>
      </c>
      <c r="F23">
        <v>81</v>
      </c>
      <c r="G23">
        <v>1</v>
      </c>
      <c r="H23">
        <f t="shared" si="0"/>
        <v>81</v>
      </c>
      <c r="K23" s="2" t="s">
        <v>20</v>
      </c>
      <c r="L23" s="2">
        <v>94.654675991370226</v>
      </c>
      <c r="M23" s="2">
        <v>102.81837979518174</v>
      </c>
      <c r="N23" s="2">
        <v>0.92060073480953564</v>
      </c>
      <c r="O23" s="2">
        <v>0.37093154354188362</v>
      </c>
      <c r="P23" s="2">
        <v>-123.31055219377916</v>
      </c>
      <c r="Q23" s="2">
        <v>312.61990417651964</v>
      </c>
      <c r="R23" s="2">
        <v>-123.31055219377916</v>
      </c>
      <c r="S23" s="2">
        <v>312.61990417651964</v>
      </c>
    </row>
    <row r="24" spans="1:19">
      <c r="A24">
        <v>892</v>
      </c>
      <c r="B24">
        <v>83</v>
      </c>
      <c r="C24" t="s">
        <v>4</v>
      </c>
      <c r="E24">
        <v>892</v>
      </c>
      <c r="F24">
        <v>83</v>
      </c>
      <c r="G24">
        <v>1</v>
      </c>
      <c r="H24">
        <f t="shared" si="0"/>
        <v>83</v>
      </c>
      <c r="K24" s="2" t="s">
        <v>0</v>
      </c>
      <c r="L24" s="2">
        <v>5.8737817126701808</v>
      </c>
      <c r="M24" s="2">
        <v>1.4817728396972218</v>
      </c>
      <c r="N24" s="2">
        <v>3.9640230643385261</v>
      </c>
      <c r="O24" s="2">
        <v>1.1131460866605704E-3</v>
      </c>
      <c r="P24" s="2">
        <v>2.7325636175539127</v>
      </c>
      <c r="Q24" s="2">
        <v>9.0149998077864488</v>
      </c>
      <c r="R24" s="2">
        <v>2.7325636175539127</v>
      </c>
      <c r="S24" s="2">
        <v>9.0149998077864488</v>
      </c>
    </row>
    <row r="25" spans="1:19">
      <c r="A25">
        <v>900</v>
      </c>
      <c r="B25">
        <v>87</v>
      </c>
      <c r="C25" t="s">
        <v>4</v>
      </c>
      <c r="E25">
        <v>900</v>
      </c>
      <c r="F25">
        <v>87</v>
      </c>
      <c r="G25">
        <v>1</v>
      </c>
      <c r="H25">
        <f t="shared" si="0"/>
        <v>87</v>
      </c>
      <c r="K25" s="2" t="s">
        <v>6</v>
      </c>
      <c r="L25" s="2">
        <v>-329.761099646736</v>
      </c>
      <c r="M25" s="2">
        <v>153.69314075497587</v>
      </c>
      <c r="N25" s="2">
        <v>-2.1455811106915639</v>
      </c>
      <c r="O25" s="2">
        <v>4.759515879337687E-2</v>
      </c>
      <c r="P25" s="2">
        <v>-655.57600318716754</v>
      </c>
      <c r="Q25" s="2">
        <v>-3.9461961063043987</v>
      </c>
      <c r="R25" s="2">
        <v>-655.57600318716754</v>
      </c>
      <c r="S25" s="2">
        <v>-3.9461961063043987</v>
      </c>
    </row>
    <row r="26" spans="1:19" ht="15.75" thickBot="1">
      <c r="A26">
        <v>980</v>
      </c>
      <c r="B26">
        <v>88</v>
      </c>
      <c r="C26" t="s">
        <v>4</v>
      </c>
      <c r="E26">
        <v>980</v>
      </c>
      <c r="F26">
        <v>88</v>
      </c>
      <c r="G26">
        <v>1</v>
      </c>
      <c r="H26">
        <f t="shared" si="0"/>
        <v>88</v>
      </c>
      <c r="K26" s="3" t="s">
        <v>37</v>
      </c>
      <c r="L26" s="3">
        <v>7.3646837474368807</v>
      </c>
      <c r="M26" s="3">
        <v>2.1686939678317554</v>
      </c>
      <c r="N26" s="3">
        <v>3.3959073325592537</v>
      </c>
      <c r="O26" s="3">
        <v>3.6919114864004854E-3</v>
      </c>
      <c r="P26" s="3">
        <v>2.7672579126411723</v>
      </c>
      <c r="Q26" s="3">
        <v>11.962109582232589</v>
      </c>
      <c r="R26" s="3">
        <v>2.7672579126411723</v>
      </c>
      <c r="S26" s="3">
        <v>11.962109582232589</v>
      </c>
    </row>
    <row r="29" spans="1:19">
      <c r="E29" t="s">
        <v>32</v>
      </c>
    </row>
    <row r="31" spans="1:19">
      <c r="E31" t="s">
        <v>33</v>
      </c>
    </row>
    <row r="32" spans="1:19">
      <c r="E32" t="s">
        <v>38</v>
      </c>
    </row>
    <row r="34" spans="5:5">
      <c r="E34" t="s">
        <v>34</v>
      </c>
    </row>
    <row r="35" spans="5:5">
      <c r="E35" t="s">
        <v>39</v>
      </c>
    </row>
  </sheetData>
  <mergeCells count="1">
    <mergeCell ref="A4:C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"/>
  <sheetViews>
    <sheetView workbookViewId="0">
      <selection activeCell="A12" sqref="A12"/>
    </sheetView>
  </sheetViews>
  <sheetFormatPr defaultRowHeight="15"/>
  <cols>
    <col min="6" max="6" width="11.140625" bestFit="1" customWidth="1"/>
    <col min="11" max="11" width="7.28515625" bestFit="1" customWidth="1"/>
    <col min="12" max="13" width="18.7109375" bestFit="1" customWidth="1"/>
    <col min="14" max="15" width="19" bestFit="1" customWidth="1"/>
    <col min="16" max="16" width="18.28515625" bestFit="1" customWidth="1"/>
  </cols>
  <sheetData>
    <row r="1" spans="1:24">
      <c r="A1" s="9" t="s">
        <v>5</v>
      </c>
      <c r="B1" s="9"/>
      <c r="C1" s="9"/>
      <c r="E1" s="9" t="s">
        <v>56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24">
      <c r="A3" t="s">
        <v>44</v>
      </c>
      <c r="B3" t="s">
        <v>42</v>
      </c>
      <c r="C3" t="s">
        <v>43</v>
      </c>
      <c r="E3" t="s">
        <v>62</v>
      </c>
      <c r="F3" t="s">
        <v>55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tr">
        <f>$F3&amp;":"&amp;G3</f>
        <v>log_Weight:Color_E</v>
      </c>
      <c r="M3" t="str">
        <f t="shared" ref="M3:P3" si="0">$F3&amp;":"&amp;H3</f>
        <v>log_Weight:Color_F</v>
      </c>
      <c r="N3" t="str">
        <f t="shared" si="0"/>
        <v>log_Weight:Color_G</v>
      </c>
      <c r="O3" t="str">
        <f t="shared" si="0"/>
        <v>log_Weight:Color_H</v>
      </c>
      <c r="P3" t="str">
        <f t="shared" si="0"/>
        <v>log_Weight:Color_I</v>
      </c>
    </row>
    <row r="4" spans="1:24">
      <c r="A4">
        <v>1302</v>
      </c>
      <c r="B4" s="7">
        <v>0.3</v>
      </c>
      <c r="C4" t="s">
        <v>45</v>
      </c>
      <c r="E4">
        <f>LN(A4)</f>
        <v>7.1716568227685142</v>
      </c>
      <c r="F4" s="7">
        <f>LN(B4)</f>
        <v>-1.2039728043259361</v>
      </c>
      <c r="G4">
        <f>IF($C4="E",1,0)</f>
        <v>0</v>
      </c>
      <c r="H4">
        <f>IF($C4="F",1,0)</f>
        <v>0</v>
      </c>
      <c r="I4">
        <f>IF($C4="G",1,0)</f>
        <v>0</v>
      </c>
      <c r="J4">
        <f>IF($C4="H",1,0)</f>
        <v>0</v>
      </c>
      <c r="K4">
        <f>IF($C4="I",1,0)</f>
        <v>0</v>
      </c>
      <c r="L4">
        <f>$F4*G4</f>
        <v>0</v>
      </c>
      <c r="M4">
        <f t="shared" ref="M4:P4" si="1">$F4*H4</f>
        <v>0</v>
      </c>
      <c r="N4">
        <f t="shared" si="1"/>
        <v>0</v>
      </c>
      <c r="O4">
        <f t="shared" si="1"/>
        <v>0</v>
      </c>
      <c r="P4">
        <f t="shared" si="1"/>
        <v>0</v>
      </c>
    </row>
    <row r="5" spans="1:24">
      <c r="A5">
        <v>1510</v>
      </c>
      <c r="B5" s="7">
        <v>0.3</v>
      </c>
      <c r="C5" t="s">
        <v>46</v>
      </c>
      <c r="E5">
        <f t="shared" ref="E5:E68" si="2">LN(A5)</f>
        <v>7.3198649298089702</v>
      </c>
      <c r="F5" s="7">
        <f t="shared" ref="F5:F68" si="3">LN(B5)</f>
        <v>-1.2039728043259361</v>
      </c>
      <c r="G5">
        <f t="shared" ref="G5:G68" si="4">IF($C5="E",1,0)</f>
        <v>1</v>
      </c>
      <c r="H5">
        <f t="shared" ref="H5:H68" si="5">IF($C5="F",1,0)</f>
        <v>0</v>
      </c>
      <c r="I5">
        <f t="shared" ref="I5:I68" si="6">IF($C5="G",1,0)</f>
        <v>0</v>
      </c>
      <c r="J5">
        <f t="shared" ref="J5:J68" si="7">IF($C5="H",1,0)</f>
        <v>0</v>
      </c>
      <c r="K5">
        <f t="shared" ref="K5:K68" si="8">IF($C5="I",1,0)</f>
        <v>0</v>
      </c>
      <c r="L5">
        <f t="shared" ref="L5:L68" si="9">$F5*G5</f>
        <v>-1.2039728043259361</v>
      </c>
      <c r="M5">
        <f t="shared" ref="M5:M68" si="10">$F5*H5</f>
        <v>0</v>
      </c>
      <c r="N5">
        <f t="shared" ref="N5:N68" si="11">$F5*I5</f>
        <v>0</v>
      </c>
      <c r="O5">
        <f t="shared" ref="O5:O68" si="12">$F5*J5</f>
        <v>0</v>
      </c>
      <c r="P5">
        <f t="shared" ref="P5:P68" si="13">$F5*K5</f>
        <v>0</v>
      </c>
      <c r="S5" t="s">
        <v>9</v>
      </c>
    </row>
    <row r="6" spans="1:24" ht="15.75" thickBot="1">
      <c r="A6">
        <v>1510</v>
      </c>
      <c r="B6" s="7">
        <v>0.3</v>
      </c>
      <c r="C6" t="s">
        <v>47</v>
      </c>
      <c r="E6">
        <f t="shared" si="2"/>
        <v>7.3198649298089702</v>
      </c>
      <c r="F6" s="7">
        <f t="shared" si="3"/>
        <v>-1.2039728043259361</v>
      </c>
      <c r="G6">
        <f t="shared" si="4"/>
        <v>0</v>
      </c>
      <c r="H6">
        <f t="shared" si="5"/>
        <v>0</v>
      </c>
      <c r="I6">
        <f t="shared" si="6"/>
        <v>1</v>
      </c>
      <c r="J6">
        <f t="shared" si="7"/>
        <v>0</v>
      </c>
      <c r="K6">
        <f t="shared" si="8"/>
        <v>0</v>
      </c>
      <c r="L6">
        <f t="shared" si="9"/>
        <v>0</v>
      </c>
      <c r="M6">
        <f t="shared" si="10"/>
        <v>0</v>
      </c>
      <c r="N6">
        <f t="shared" si="11"/>
        <v>-1.2039728043259361</v>
      </c>
      <c r="O6">
        <f t="shared" si="12"/>
        <v>0</v>
      </c>
      <c r="P6">
        <f t="shared" si="13"/>
        <v>0</v>
      </c>
    </row>
    <row r="7" spans="1:24">
      <c r="A7">
        <v>1260</v>
      </c>
      <c r="B7" s="7">
        <v>0.3</v>
      </c>
      <c r="C7" t="s">
        <v>47</v>
      </c>
      <c r="E7">
        <f t="shared" si="2"/>
        <v>7.1388669999455239</v>
      </c>
      <c r="F7" s="7">
        <f t="shared" si="3"/>
        <v>-1.2039728043259361</v>
      </c>
      <c r="G7">
        <f t="shared" si="4"/>
        <v>0</v>
      </c>
      <c r="H7">
        <f t="shared" si="5"/>
        <v>0</v>
      </c>
      <c r="I7">
        <f t="shared" si="6"/>
        <v>1</v>
      </c>
      <c r="J7">
        <f t="shared" si="7"/>
        <v>0</v>
      </c>
      <c r="K7">
        <f t="shared" si="8"/>
        <v>0</v>
      </c>
      <c r="L7">
        <f t="shared" si="9"/>
        <v>0</v>
      </c>
      <c r="M7">
        <f t="shared" si="10"/>
        <v>0</v>
      </c>
      <c r="N7">
        <f t="shared" si="11"/>
        <v>-1.2039728043259361</v>
      </c>
      <c r="O7">
        <f t="shared" si="12"/>
        <v>0</v>
      </c>
      <c r="P7">
        <f t="shared" si="13"/>
        <v>0</v>
      </c>
      <c r="S7" s="5" t="s">
        <v>10</v>
      </c>
      <c r="T7" s="5"/>
    </row>
    <row r="8" spans="1:24">
      <c r="A8">
        <v>1641</v>
      </c>
      <c r="B8" s="7">
        <v>0.31</v>
      </c>
      <c r="C8" t="s">
        <v>45</v>
      </c>
      <c r="E8">
        <f t="shared" si="2"/>
        <v>7.4030610910900911</v>
      </c>
      <c r="F8" s="7">
        <f t="shared" si="3"/>
        <v>-1.1711829815029451</v>
      </c>
      <c r="G8">
        <f t="shared" si="4"/>
        <v>0</v>
      </c>
      <c r="H8">
        <f t="shared" si="5"/>
        <v>0</v>
      </c>
      <c r="I8">
        <f t="shared" si="6"/>
        <v>0</v>
      </c>
      <c r="J8">
        <f t="shared" si="7"/>
        <v>0</v>
      </c>
      <c r="K8">
        <f t="shared" si="8"/>
        <v>0</v>
      </c>
      <c r="L8">
        <f t="shared" si="9"/>
        <v>0</v>
      </c>
      <c r="M8">
        <f t="shared" si="10"/>
        <v>0</v>
      </c>
      <c r="N8">
        <f t="shared" si="11"/>
        <v>0</v>
      </c>
      <c r="O8">
        <f t="shared" si="12"/>
        <v>0</v>
      </c>
      <c r="P8">
        <f t="shared" si="13"/>
        <v>0</v>
      </c>
      <c r="S8" s="2" t="s">
        <v>11</v>
      </c>
      <c r="T8" s="2">
        <v>0.98844036066362995</v>
      </c>
    </row>
    <row r="9" spans="1:24">
      <c r="A9">
        <v>1555</v>
      </c>
      <c r="B9" s="7">
        <v>0.31</v>
      </c>
      <c r="C9" t="s">
        <v>46</v>
      </c>
      <c r="E9">
        <f t="shared" si="2"/>
        <v>7.3492308246133344</v>
      </c>
      <c r="F9" s="7">
        <f t="shared" si="3"/>
        <v>-1.1711829815029451</v>
      </c>
      <c r="G9">
        <f t="shared" si="4"/>
        <v>1</v>
      </c>
      <c r="H9">
        <f t="shared" si="5"/>
        <v>0</v>
      </c>
      <c r="I9">
        <f t="shared" si="6"/>
        <v>0</v>
      </c>
      <c r="J9">
        <f t="shared" si="7"/>
        <v>0</v>
      </c>
      <c r="K9">
        <f t="shared" si="8"/>
        <v>0</v>
      </c>
      <c r="L9">
        <f t="shared" si="9"/>
        <v>-1.1711829815029451</v>
      </c>
      <c r="M9">
        <f t="shared" si="10"/>
        <v>0</v>
      </c>
      <c r="N9">
        <f t="shared" si="11"/>
        <v>0</v>
      </c>
      <c r="O9">
        <f t="shared" si="12"/>
        <v>0</v>
      </c>
      <c r="P9">
        <f t="shared" si="13"/>
        <v>0</v>
      </c>
      <c r="S9" s="2" t="s">
        <v>12</v>
      </c>
      <c r="T9" s="2">
        <v>0.97701434658884678</v>
      </c>
    </row>
    <row r="10" spans="1:24">
      <c r="A10">
        <v>1427</v>
      </c>
      <c r="B10" s="7">
        <v>0.31</v>
      </c>
      <c r="C10" t="s">
        <v>3</v>
      </c>
      <c r="E10">
        <f t="shared" si="2"/>
        <v>7.2633296174768365</v>
      </c>
      <c r="F10" s="7">
        <f t="shared" si="3"/>
        <v>-1.1711829815029451</v>
      </c>
      <c r="G10">
        <f t="shared" si="4"/>
        <v>0</v>
      </c>
      <c r="H10">
        <f t="shared" si="5"/>
        <v>1</v>
      </c>
      <c r="I10">
        <f t="shared" si="6"/>
        <v>0</v>
      </c>
      <c r="J10">
        <f t="shared" si="7"/>
        <v>0</v>
      </c>
      <c r="K10">
        <f t="shared" si="8"/>
        <v>0</v>
      </c>
      <c r="L10">
        <f t="shared" si="9"/>
        <v>0</v>
      </c>
      <c r="M10">
        <f t="shared" si="10"/>
        <v>-1.1711829815029451</v>
      </c>
      <c r="N10">
        <f t="shared" si="11"/>
        <v>0</v>
      </c>
      <c r="O10">
        <f t="shared" si="12"/>
        <v>0</v>
      </c>
      <c r="P10">
        <f t="shared" si="13"/>
        <v>0</v>
      </c>
      <c r="S10" s="2" t="s">
        <v>13</v>
      </c>
      <c r="T10" s="2">
        <v>0.97616015000937828</v>
      </c>
    </row>
    <row r="11" spans="1:24">
      <c r="A11">
        <v>1427</v>
      </c>
      <c r="B11" s="7">
        <v>0.31</v>
      </c>
      <c r="C11" t="s">
        <v>47</v>
      </c>
      <c r="E11">
        <f t="shared" si="2"/>
        <v>7.2633296174768365</v>
      </c>
      <c r="F11" s="7">
        <f t="shared" si="3"/>
        <v>-1.1711829815029451</v>
      </c>
      <c r="G11">
        <f t="shared" si="4"/>
        <v>0</v>
      </c>
      <c r="H11">
        <f t="shared" si="5"/>
        <v>0</v>
      </c>
      <c r="I11">
        <f t="shared" si="6"/>
        <v>1</v>
      </c>
      <c r="J11">
        <f t="shared" si="7"/>
        <v>0</v>
      </c>
      <c r="K11">
        <f t="shared" si="8"/>
        <v>0</v>
      </c>
      <c r="L11">
        <f t="shared" si="9"/>
        <v>0</v>
      </c>
      <c r="M11">
        <f t="shared" si="10"/>
        <v>0</v>
      </c>
      <c r="N11">
        <f t="shared" si="11"/>
        <v>-1.1711829815029451</v>
      </c>
      <c r="O11">
        <f t="shared" si="12"/>
        <v>0</v>
      </c>
      <c r="P11">
        <f t="shared" si="13"/>
        <v>0</v>
      </c>
      <c r="S11" s="2" t="s">
        <v>14</v>
      </c>
      <c r="T11" s="2">
        <v>0.12573130984385306</v>
      </c>
    </row>
    <row r="12" spans="1:24" ht="15.75" thickBot="1">
      <c r="A12">
        <v>1126</v>
      </c>
      <c r="B12" s="7">
        <v>0.31</v>
      </c>
      <c r="C12" t="s">
        <v>48</v>
      </c>
      <c r="E12">
        <f t="shared" si="2"/>
        <v>7.026426808699636</v>
      </c>
      <c r="F12" s="7">
        <f t="shared" si="3"/>
        <v>-1.1711829815029451</v>
      </c>
      <c r="G12">
        <f t="shared" si="4"/>
        <v>0</v>
      </c>
      <c r="H12">
        <f t="shared" si="5"/>
        <v>0</v>
      </c>
      <c r="I12">
        <f t="shared" si="6"/>
        <v>0</v>
      </c>
      <c r="J12">
        <f t="shared" si="7"/>
        <v>1</v>
      </c>
      <c r="K12">
        <f t="shared" si="8"/>
        <v>0</v>
      </c>
      <c r="L12">
        <f t="shared" si="9"/>
        <v>0</v>
      </c>
      <c r="M12">
        <f t="shared" si="10"/>
        <v>0</v>
      </c>
      <c r="N12">
        <f t="shared" si="11"/>
        <v>0</v>
      </c>
      <c r="O12">
        <f t="shared" si="12"/>
        <v>-1.1711829815029451</v>
      </c>
      <c r="P12">
        <f t="shared" si="13"/>
        <v>0</v>
      </c>
      <c r="S12" s="3" t="s">
        <v>15</v>
      </c>
      <c r="T12" s="3">
        <v>308</v>
      </c>
    </row>
    <row r="13" spans="1:24">
      <c r="A13">
        <v>1126</v>
      </c>
      <c r="B13" s="7">
        <v>0.31</v>
      </c>
      <c r="C13" t="s">
        <v>49</v>
      </c>
      <c r="E13">
        <f t="shared" si="2"/>
        <v>7.026426808699636</v>
      </c>
      <c r="F13" s="7">
        <f t="shared" si="3"/>
        <v>-1.1711829815029451</v>
      </c>
      <c r="G13">
        <f t="shared" si="4"/>
        <v>0</v>
      </c>
      <c r="H13">
        <f t="shared" si="5"/>
        <v>0</v>
      </c>
      <c r="I13">
        <f t="shared" si="6"/>
        <v>0</v>
      </c>
      <c r="J13">
        <f t="shared" si="7"/>
        <v>0</v>
      </c>
      <c r="K13">
        <f t="shared" si="8"/>
        <v>1</v>
      </c>
      <c r="L13">
        <f t="shared" si="9"/>
        <v>0</v>
      </c>
      <c r="M13">
        <f t="shared" si="10"/>
        <v>0</v>
      </c>
      <c r="N13">
        <f t="shared" si="11"/>
        <v>0</v>
      </c>
      <c r="O13">
        <f t="shared" si="12"/>
        <v>0</v>
      </c>
      <c r="P13">
        <f t="shared" si="13"/>
        <v>-1.1711829815029451</v>
      </c>
    </row>
    <row r="14" spans="1:24" ht="15.75" thickBot="1">
      <c r="A14">
        <v>1468</v>
      </c>
      <c r="B14" s="7">
        <v>0.32</v>
      </c>
      <c r="C14" t="s">
        <v>3</v>
      </c>
      <c r="E14">
        <f t="shared" si="2"/>
        <v>7.2916562091744606</v>
      </c>
      <c r="F14" s="7">
        <f t="shared" si="3"/>
        <v>-1.1394342831883648</v>
      </c>
      <c r="G14">
        <f t="shared" si="4"/>
        <v>0</v>
      </c>
      <c r="H14">
        <f t="shared" si="5"/>
        <v>1</v>
      </c>
      <c r="I14">
        <f t="shared" si="6"/>
        <v>0</v>
      </c>
      <c r="J14">
        <f t="shared" si="7"/>
        <v>0</v>
      </c>
      <c r="K14">
        <f t="shared" si="8"/>
        <v>0</v>
      </c>
      <c r="L14">
        <f t="shared" si="9"/>
        <v>0</v>
      </c>
      <c r="M14">
        <f t="shared" si="10"/>
        <v>-1.1394342831883648</v>
      </c>
      <c r="N14">
        <f t="shared" si="11"/>
        <v>0</v>
      </c>
      <c r="O14">
        <f t="shared" si="12"/>
        <v>0</v>
      </c>
      <c r="P14">
        <f t="shared" si="13"/>
        <v>0</v>
      </c>
      <c r="S14" t="s">
        <v>16</v>
      </c>
    </row>
    <row r="15" spans="1:24">
      <c r="A15">
        <v>1202</v>
      </c>
      <c r="B15" s="7">
        <v>0.32</v>
      </c>
      <c r="C15" t="s">
        <v>47</v>
      </c>
      <c r="E15">
        <f t="shared" si="2"/>
        <v>7.091742115095153</v>
      </c>
      <c r="F15" s="7">
        <f t="shared" si="3"/>
        <v>-1.1394342831883648</v>
      </c>
      <c r="G15">
        <f t="shared" si="4"/>
        <v>0</v>
      </c>
      <c r="H15">
        <f t="shared" si="5"/>
        <v>0</v>
      </c>
      <c r="I15">
        <f t="shared" si="6"/>
        <v>1</v>
      </c>
      <c r="J15">
        <f t="shared" si="7"/>
        <v>0</v>
      </c>
      <c r="K15">
        <f t="shared" si="8"/>
        <v>0</v>
      </c>
      <c r="L15">
        <f t="shared" si="9"/>
        <v>0</v>
      </c>
      <c r="M15">
        <f t="shared" si="10"/>
        <v>0</v>
      </c>
      <c r="N15">
        <f t="shared" si="11"/>
        <v>-1.1394342831883648</v>
      </c>
      <c r="O15">
        <f t="shared" si="12"/>
        <v>0</v>
      </c>
      <c r="P15">
        <f t="shared" si="13"/>
        <v>0</v>
      </c>
      <c r="S15" s="4"/>
      <c r="T15" s="4" t="s">
        <v>21</v>
      </c>
      <c r="U15" s="4" t="s">
        <v>22</v>
      </c>
      <c r="V15" s="4" t="s">
        <v>23</v>
      </c>
      <c r="W15" s="4" t="s">
        <v>3</v>
      </c>
      <c r="X15" s="4" t="s">
        <v>24</v>
      </c>
    </row>
    <row r="16" spans="1:24">
      <c r="A16">
        <v>1327</v>
      </c>
      <c r="B16" s="7">
        <v>0.33</v>
      </c>
      <c r="C16" t="s">
        <v>46</v>
      </c>
      <c r="E16">
        <f t="shared" si="2"/>
        <v>7.1906760343322071</v>
      </c>
      <c r="F16" s="7">
        <f t="shared" si="3"/>
        <v>-1.1086626245216111</v>
      </c>
      <c r="G16">
        <f t="shared" si="4"/>
        <v>1</v>
      </c>
      <c r="H16">
        <f t="shared" si="5"/>
        <v>0</v>
      </c>
      <c r="I16">
        <f t="shared" si="6"/>
        <v>0</v>
      </c>
      <c r="J16">
        <f t="shared" si="7"/>
        <v>0</v>
      </c>
      <c r="K16">
        <f t="shared" si="8"/>
        <v>0</v>
      </c>
      <c r="L16">
        <f t="shared" si="9"/>
        <v>-1.1086626245216111</v>
      </c>
      <c r="M16">
        <f t="shared" si="10"/>
        <v>0</v>
      </c>
      <c r="N16">
        <f t="shared" si="11"/>
        <v>0</v>
      </c>
      <c r="O16">
        <f t="shared" si="12"/>
        <v>0</v>
      </c>
      <c r="P16">
        <f t="shared" si="13"/>
        <v>0</v>
      </c>
      <c r="S16" s="2" t="s">
        <v>17</v>
      </c>
      <c r="T16" s="2">
        <v>11</v>
      </c>
      <c r="U16" s="2">
        <v>198.8944561596023</v>
      </c>
      <c r="V16" s="2">
        <v>18.081314196327483</v>
      </c>
      <c r="W16" s="2">
        <v>1143.7816189766675</v>
      </c>
      <c r="X16" s="2">
        <v>3.4175072839986039E-235</v>
      </c>
    </row>
    <row r="17" spans="1:27">
      <c r="A17">
        <v>1098</v>
      </c>
      <c r="B17" s="7">
        <v>0.33</v>
      </c>
      <c r="C17" t="s">
        <v>49</v>
      </c>
      <c r="E17">
        <f t="shared" si="2"/>
        <v>7.0012456220694759</v>
      </c>
      <c r="F17" s="7">
        <f t="shared" si="3"/>
        <v>-1.1086626245216111</v>
      </c>
      <c r="G17">
        <f t="shared" si="4"/>
        <v>0</v>
      </c>
      <c r="H17">
        <f t="shared" si="5"/>
        <v>0</v>
      </c>
      <c r="I17">
        <f t="shared" si="6"/>
        <v>0</v>
      </c>
      <c r="J17">
        <f t="shared" si="7"/>
        <v>0</v>
      </c>
      <c r="K17">
        <f t="shared" si="8"/>
        <v>1</v>
      </c>
      <c r="L17">
        <f t="shared" si="9"/>
        <v>0</v>
      </c>
      <c r="M17">
        <f t="shared" si="10"/>
        <v>0</v>
      </c>
      <c r="N17">
        <f t="shared" si="11"/>
        <v>0</v>
      </c>
      <c r="O17">
        <f t="shared" si="12"/>
        <v>0</v>
      </c>
      <c r="P17">
        <f t="shared" si="13"/>
        <v>-1.1086626245216111</v>
      </c>
      <c r="S17" s="2" t="s">
        <v>18</v>
      </c>
      <c r="T17" s="2">
        <v>296</v>
      </c>
      <c r="U17" s="2">
        <v>4.6792752334150896</v>
      </c>
      <c r="V17" s="2">
        <v>1.5808362275050978E-2</v>
      </c>
      <c r="W17" s="2"/>
      <c r="X17" s="2"/>
    </row>
    <row r="18" spans="1:27" ht="15.75" thickBot="1">
      <c r="A18">
        <v>1693</v>
      </c>
      <c r="B18" s="7">
        <v>0.34</v>
      </c>
      <c r="C18" t="s">
        <v>46</v>
      </c>
      <c r="E18">
        <f t="shared" si="2"/>
        <v>7.4342573821331355</v>
      </c>
      <c r="F18" s="7">
        <f t="shared" si="3"/>
        <v>-1.0788096613719298</v>
      </c>
      <c r="G18">
        <f t="shared" si="4"/>
        <v>1</v>
      </c>
      <c r="H18">
        <f t="shared" si="5"/>
        <v>0</v>
      </c>
      <c r="I18">
        <f t="shared" si="6"/>
        <v>0</v>
      </c>
      <c r="J18">
        <f t="shared" si="7"/>
        <v>0</v>
      </c>
      <c r="K18">
        <f t="shared" si="8"/>
        <v>0</v>
      </c>
      <c r="L18">
        <f t="shared" si="9"/>
        <v>-1.0788096613719298</v>
      </c>
      <c r="M18">
        <f t="shared" si="10"/>
        <v>0</v>
      </c>
      <c r="N18">
        <f t="shared" si="11"/>
        <v>0</v>
      </c>
      <c r="O18">
        <f t="shared" si="12"/>
        <v>0</v>
      </c>
      <c r="P18">
        <f t="shared" si="13"/>
        <v>0</v>
      </c>
      <c r="S18" s="3" t="s">
        <v>19</v>
      </c>
      <c r="T18" s="3">
        <v>307</v>
      </c>
      <c r="U18" s="3">
        <v>203.5737313930174</v>
      </c>
      <c r="V18" s="3"/>
      <c r="W18" s="3"/>
      <c r="X18" s="3"/>
    </row>
    <row r="19" spans="1:27" ht="15.75" thickBot="1">
      <c r="A19">
        <v>1551</v>
      </c>
      <c r="B19" s="7">
        <v>0.34</v>
      </c>
      <c r="C19" t="s">
        <v>3</v>
      </c>
      <c r="E19">
        <f t="shared" si="2"/>
        <v>7.3466551631765391</v>
      </c>
      <c r="F19" s="7">
        <f t="shared" si="3"/>
        <v>-1.0788096613719298</v>
      </c>
      <c r="G19">
        <f t="shared" si="4"/>
        <v>0</v>
      </c>
      <c r="H19">
        <f t="shared" si="5"/>
        <v>1</v>
      </c>
      <c r="I19">
        <f t="shared" si="6"/>
        <v>0</v>
      </c>
      <c r="J19">
        <f t="shared" si="7"/>
        <v>0</v>
      </c>
      <c r="K19">
        <f t="shared" si="8"/>
        <v>0</v>
      </c>
      <c r="L19">
        <f t="shared" si="9"/>
        <v>0</v>
      </c>
      <c r="M19">
        <f t="shared" si="10"/>
        <v>-1.0788096613719298</v>
      </c>
      <c r="N19">
        <f t="shared" si="11"/>
        <v>0</v>
      </c>
      <c r="O19">
        <f t="shared" si="12"/>
        <v>0</v>
      </c>
      <c r="P19">
        <f t="shared" si="13"/>
        <v>0</v>
      </c>
    </row>
    <row r="20" spans="1:27">
      <c r="A20">
        <v>1410</v>
      </c>
      <c r="B20" s="7">
        <v>0.34</v>
      </c>
      <c r="C20" t="s">
        <v>47</v>
      </c>
      <c r="E20">
        <f t="shared" si="2"/>
        <v>7.2513449833722143</v>
      </c>
      <c r="F20" s="7">
        <f t="shared" si="3"/>
        <v>-1.0788096613719298</v>
      </c>
      <c r="G20">
        <f t="shared" si="4"/>
        <v>0</v>
      </c>
      <c r="H20">
        <f t="shared" si="5"/>
        <v>0</v>
      </c>
      <c r="I20">
        <f t="shared" si="6"/>
        <v>1</v>
      </c>
      <c r="J20">
        <f t="shared" si="7"/>
        <v>0</v>
      </c>
      <c r="K20">
        <f t="shared" si="8"/>
        <v>0</v>
      </c>
      <c r="L20">
        <f t="shared" si="9"/>
        <v>0</v>
      </c>
      <c r="M20">
        <f t="shared" si="10"/>
        <v>0</v>
      </c>
      <c r="N20">
        <f t="shared" si="11"/>
        <v>-1.0788096613719298</v>
      </c>
      <c r="O20">
        <f t="shared" si="12"/>
        <v>0</v>
      </c>
      <c r="P20">
        <f t="shared" si="13"/>
        <v>0</v>
      </c>
      <c r="S20" s="4"/>
      <c r="T20" s="4" t="s">
        <v>25</v>
      </c>
      <c r="U20" s="4" t="s">
        <v>14</v>
      </c>
      <c r="V20" s="4" t="s">
        <v>26</v>
      </c>
      <c r="W20" s="4" t="s">
        <v>27</v>
      </c>
      <c r="X20" s="4" t="s">
        <v>28</v>
      </c>
      <c r="Y20" s="4" t="s">
        <v>29</v>
      </c>
      <c r="Z20" s="4" t="s">
        <v>30</v>
      </c>
      <c r="AA20" s="4" t="s">
        <v>31</v>
      </c>
    </row>
    <row r="21" spans="1:27">
      <c r="A21">
        <v>1269</v>
      </c>
      <c r="B21" s="7">
        <v>0.34</v>
      </c>
      <c r="C21" t="s">
        <v>47</v>
      </c>
      <c r="E21">
        <f t="shared" si="2"/>
        <v>7.1459844677143876</v>
      </c>
      <c r="F21" s="7">
        <f t="shared" si="3"/>
        <v>-1.0788096613719298</v>
      </c>
      <c r="G21">
        <f t="shared" si="4"/>
        <v>0</v>
      </c>
      <c r="H21">
        <f t="shared" si="5"/>
        <v>0</v>
      </c>
      <c r="I21">
        <f t="shared" si="6"/>
        <v>1</v>
      </c>
      <c r="J21">
        <f t="shared" si="7"/>
        <v>0</v>
      </c>
      <c r="K21">
        <f t="shared" si="8"/>
        <v>0</v>
      </c>
      <c r="L21">
        <f t="shared" si="9"/>
        <v>0</v>
      </c>
      <c r="M21">
        <f t="shared" si="10"/>
        <v>0</v>
      </c>
      <c r="N21">
        <f t="shared" si="11"/>
        <v>-1.0788096613719298</v>
      </c>
      <c r="O21">
        <f t="shared" si="12"/>
        <v>0</v>
      </c>
      <c r="P21">
        <f t="shared" si="13"/>
        <v>0</v>
      </c>
      <c r="S21" s="2" t="s">
        <v>20</v>
      </c>
      <c r="T21" s="2">
        <v>9.4697449003248639</v>
      </c>
      <c r="U21" s="2">
        <v>4.4426220582901625E-2</v>
      </c>
      <c r="V21" s="2">
        <v>213.1566623510958</v>
      </c>
      <c r="W21" s="2">
        <v>0</v>
      </c>
      <c r="X21" s="2">
        <v>9.3823136216331999</v>
      </c>
      <c r="Y21" s="2">
        <v>9.5571761790165279</v>
      </c>
      <c r="Z21" s="2">
        <v>9.3823136216331999</v>
      </c>
      <c r="AA21" s="2">
        <v>9.5571761790165279</v>
      </c>
    </row>
    <row r="22" spans="1:27">
      <c r="A22">
        <v>1316</v>
      </c>
      <c r="B22" s="7">
        <v>0.34</v>
      </c>
      <c r="C22" t="s">
        <v>48</v>
      </c>
      <c r="E22">
        <f t="shared" si="2"/>
        <v>7.1823521118852627</v>
      </c>
      <c r="F22" s="7">
        <f t="shared" si="3"/>
        <v>-1.0788096613719298</v>
      </c>
      <c r="G22">
        <f t="shared" si="4"/>
        <v>0</v>
      </c>
      <c r="H22">
        <f t="shared" si="5"/>
        <v>0</v>
      </c>
      <c r="I22">
        <f t="shared" si="6"/>
        <v>0</v>
      </c>
      <c r="J22">
        <f t="shared" si="7"/>
        <v>1</v>
      </c>
      <c r="K22">
        <f t="shared" si="8"/>
        <v>0</v>
      </c>
      <c r="L22">
        <f t="shared" si="9"/>
        <v>0</v>
      </c>
      <c r="M22">
        <f t="shared" si="10"/>
        <v>0</v>
      </c>
      <c r="N22">
        <f t="shared" si="11"/>
        <v>0</v>
      </c>
      <c r="O22">
        <f t="shared" si="12"/>
        <v>-1.0788096613719298</v>
      </c>
      <c r="P22">
        <f t="shared" si="13"/>
        <v>0</v>
      </c>
      <c r="S22" s="2" t="s">
        <v>55</v>
      </c>
      <c r="T22" s="2">
        <v>1.7171619176585755</v>
      </c>
      <c r="U22" s="2">
        <v>5.1669042023079224E-2</v>
      </c>
      <c r="V22" s="2">
        <v>33.233864039738997</v>
      </c>
      <c r="W22" s="2">
        <v>6.5893285089000151E-102</v>
      </c>
      <c r="X22" s="2">
        <v>1.6154766886749103</v>
      </c>
      <c r="Y22" s="2">
        <v>1.8188471466422407</v>
      </c>
      <c r="Z22" s="2">
        <v>1.6154766886749103</v>
      </c>
      <c r="AA22" s="2">
        <v>1.8188471466422407</v>
      </c>
    </row>
    <row r="23" spans="1:27">
      <c r="A23">
        <v>1222</v>
      </c>
      <c r="B23" s="7">
        <v>0.34</v>
      </c>
      <c r="C23" t="s">
        <v>48</v>
      </c>
      <c r="E23">
        <f t="shared" si="2"/>
        <v>7.108244139731541</v>
      </c>
      <c r="F23" s="7">
        <f t="shared" si="3"/>
        <v>-1.0788096613719298</v>
      </c>
      <c r="G23">
        <f t="shared" si="4"/>
        <v>0</v>
      </c>
      <c r="H23">
        <f t="shared" si="5"/>
        <v>0</v>
      </c>
      <c r="I23">
        <f t="shared" si="6"/>
        <v>0</v>
      </c>
      <c r="J23">
        <f t="shared" si="7"/>
        <v>1</v>
      </c>
      <c r="K23">
        <f t="shared" si="8"/>
        <v>0</v>
      </c>
      <c r="L23">
        <f t="shared" si="9"/>
        <v>0</v>
      </c>
      <c r="M23">
        <f t="shared" si="10"/>
        <v>0</v>
      </c>
      <c r="N23">
        <f t="shared" si="11"/>
        <v>0</v>
      </c>
      <c r="O23">
        <f t="shared" si="12"/>
        <v>-1.0788096613719298</v>
      </c>
      <c r="P23">
        <f t="shared" si="13"/>
        <v>0</v>
      </c>
      <c r="S23" s="2" t="s">
        <v>50</v>
      </c>
      <c r="T23" s="2">
        <v>-0.21506191220031107</v>
      </c>
      <c r="U23" s="2">
        <v>5.3337672529372118E-2</v>
      </c>
      <c r="V23" s="2">
        <v>-4.0320828037983896</v>
      </c>
      <c r="W23" s="2">
        <v>7.0390302529029804E-5</v>
      </c>
      <c r="X23" s="2">
        <v>-0.32003102392067828</v>
      </c>
      <c r="Y23" s="2">
        <v>-0.11009280047994383</v>
      </c>
      <c r="Z23" s="2">
        <v>-0.32003102392067828</v>
      </c>
      <c r="AA23" s="2">
        <v>-0.11009280047994383</v>
      </c>
    </row>
    <row r="24" spans="1:27">
      <c r="A24">
        <v>1738</v>
      </c>
      <c r="B24" s="7">
        <v>0.35</v>
      </c>
      <c r="C24" t="s">
        <v>46</v>
      </c>
      <c r="E24">
        <f t="shared" si="2"/>
        <v>7.4604903058253376</v>
      </c>
      <c r="F24" s="7">
        <f t="shared" si="3"/>
        <v>-1.0498221244986778</v>
      </c>
      <c r="G24">
        <f t="shared" si="4"/>
        <v>1</v>
      </c>
      <c r="H24">
        <f t="shared" si="5"/>
        <v>0</v>
      </c>
      <c r="I24">
        <f t="shared" si="6"/>
        <v>0</v>
      </c>
      <c r="J24">
        <f t="shared" si="7"/>
        <v>0</v>
      </c>
      <c r="K24">
        <f t="shared" si="8"/>
        <v>0</v>
      </c>
      <c r="L24">
        <f t="shared" si="9"/>
        <v>-1.0498221244986778</v>
      </c>
      <c r="M24">
        <f t="shared" si="10"/>
        <v>0</v>
      </c>
      <c r="N24">
        <f t="shared" si="11"/>
        <v>0</v>
      </c>
      <c r="O24">
        <f t="shared" si="12"/>
        <v>0</v>
      </c>
      <c r="P24">
        <f t="shared" si="13"/>
        <v>0</v>
      </c>
      <c r="S24" s="2" t="s">
        <v>51</v>
      </c>
      <c r="T24" s="2">
        <v>-0.29781618581390162</v>
      </c>
      <c r="U24" s="2">
        <v>4.976555536978583E-2</v>
      </c>
      <c r="V24" s="2">
        <v>-5.9843838494509161</v>
      </c>
      <c r="W24" s="2">
        <v>6.2664707089914483E-9</v>
      </c>
      <c r="X24" s="2">
        <v>-0.39575533264413665</v>
      </c>
      <c r="Y24" s="2">
        <v>-0.19987703898366657</v>
      </c>
      <c r="Z24" s="2">
        <v>-0.39575533264413665</v>
      </c>
      <c r="AA24" s="2">
        <v>-0.19987703898366657</v>
      </c>
    </row>
    <row r="25" spans="1:27">
      <c r="A25">
        <v>1593</v>
      </c>
      <c r="B25" s="7">
        <v>0.35</v>
      </c>
      <c r="C25" t="s">
        <v>3</v>
      </c>
      <c r="E25">
        <f t="shared" si="2"/>
        <v>7.3733743099100488</v>
      </c>
      <c r="F25" s="7">
        <f t="shared" si="3"/>
        <v>-1.0498221244986778</v>
      </c>
      <c r="G25">
        <f t="shared" si="4"/>
        <v>0</v>
      </c>
      <c r="H25">
        <f t="shared" si="5"/>
        <v>1</v>
      </c>
      <c r="I25">
        <f t="shared" si="6"/>
        <v>0</v>
      </c>
      <c r="J25">
        <f t="shared" si="7"/>
        <v>0</v>
      </c>
      <c r="K25">
        <f t="shared" si="8"/>
        <v>0</v>
      </c>
      <c r="L25">
        <f t="shared" si="9"/>
        <v>0</v>
      </c>
      <c r="M25">
        <f t="shared" si="10"/>
        <v>-1.0498221244986778</v>
      </c>
      <c r="N25">
        <f t="shared" si="11"/>
        <v>0</v>
      </c>
      <c r="O25">
        <f t="shared" si="12"/>
        <v>0</v>
      </c>
      <c r="P25">
        <f t="shared" si="13"/>
        <v>0</v>
      </c>
      <c r="S25" s="2" t="s">
        <v>52</v>
      </c>
      <c r="T25" s="2">
        <v>-0.3416316030618331</v>
      </c>
      <c r="U25" s="2">
        <v>5.0833956283493291E-2</v>
      </c>
      <c r="V25" s="2">
        <v>-6.7205393409988643</v>
      </c>
      <c r="W25" s="2">
        <v>9.294726140460608E-11</v>
      </c>
      <c r="X25" s="2">
        <v>-0.44167337435156895</v>
      </c>
      <c r="Y25" s="2">
        <v>-0.24158983177209725</v>
      </c>
      <c r="Z25" s="2">
        <v>-0.44167337435156895</v>
      </c>
      <c r="AA25" s="2">
        <v>-0.24158983177209725</v>
      </c>
    </row>
    <row r="26" spans="1:27">
      <c r="A26">
        <v>1447</v>
      </c>
      <c r="B26" s="7">
        <v>0.35</v>
      </c>
      <c r="C26" t="s">
        <v>47</v>
      </c>
      <c r="E26">
        <f t="shared" si="2"/>
        <v>7.2772477266314839</v>
      </c>
      <c r="F26" s="7">
        <f t="shared" si="3"/>
        <v>-1.0498221244986778</v>
      </c>
      <c r="G26">
        <f t="shared" si="4"/>
        <v>0</v>
      </c>
      <c r="H26">
        <f t="shared" si="5"/>
        <v>0</v>
      </c>
      <c r="I26">
        <f t="shared" si="6"/>
        <v>1</v>
      </c>
      <c r="J26">
        <f t="shared" si="7"/>
        <v>0</v>
      </c>
      <c r="K26">
        <f t="shared" si="8"/>
        <v>0</v>
      </c>
      <c r="L26">
        <f t="shared" si="9"/>
        <v>0</v>
      </c>
      <c r="M26">
        <f t="shared" si="10"/>
        <v>0</v>
      </c>
      <c r="N26">
        <f t="shared" si="11"/>
        <v>-1.0498221244986778</v>
      </c>
      <c r="O26">
        <f t="shared" si="12"/>
        <v>0</v>
      </c>
      <c r="P26">
        <f t="shared" si="13"/>
        <v>0</v>
      </c>
      <c r="S26" s="2" t="s">
        <v>53</v>
      </c>
      <c r="T26" s="2">
        <v>-0.41320590458268969</v>
      </c>
      <c r="U26" s="2">
        <v>5.013891344508431E-2</v>
      </c>
      <c r="V26" s="2">
        <v>-8.2412217615218584</v>
      </c>
      <c r="W26" s="2">
        <v>5.5846729543495001E-15</v>
      </c>
      <c r="X26" s="2">
        <v>-0.51187982411032962</v>
      </c>
      <c r="Y26" s="2">
        <v>-0.3145319850550497</v>
      </c>
      <c r="Z26" s="2">
        <v>-0.51187982411032962</v>
      </c>
      <c r="AA26" s="2">
        <v>-0.3145319850550497</v>
      </c>
    </row>
    <row r="27" spans="1:27">
      <c r="A27">
        <v>1255</v>
      </c>
      <c r="B27" s="7">
        <v>0.35</v>
      </c>
      <c r="C27" t="s">
        <v>48</v>
      </c>
      <c r="E27">
        <f t="shared" si="2"/>
        <v>7.134890851565884</v>
      </c>
      <c r="F27" s="7">
        <f t="shared" si="3"/>
        <v>-1.0498221244986778</v>
      </c>
      <c r="G27">
        <f t="shared" si="4"/>
        <v>0</v>
      </c>
      <c r="H27">
        <f t="shared" si="5"/>
        <v>0</v>
      </c>
      <c r="I27">
        <f t="shared" si="6"/>
        <v>0</v>
      </c>
      <c r="J27">
        <f t="shared" si="7"/>
        <v>1</v>
      </c>
      <c r="K27">
        <f t="shared" si="8"/>
        <v>0</v>
      </c>
      <c r="L27">
        <f t="shared" si="9"/>
        <v>0</v>
      </c>
      <c r="M27">
        <f t="shared" si="10"/>
        <v>0</v>
      </c>
      <c r="N27">
        <f t="shared" si="11"/>
        <v>0</v>
      </c>
      <c r="O27">
        <f t="shared" si="12"/>
        <v>-1.0498221244986778</v>
      </c>
      <c r="P27">
        <f t="shared" si="13"/>
        <v>0</v>
      </c>
      <c r="S27" s="2" t="s">
        <v>54</v>
      </c>
      <c r="T27" s="2">
        <v>-0.50868271376076524</v>
      </c>
      <c r="U27" s="2">
        <v>5.1555274007502538E-2</v>
      </c>
      <c r="V27" s="2">
        <v>-9.8667444515325364</v>
      </c>
      <c r="W27" s="2">
        <v>4.8780513902936262E-20</v>
      </c>
      <c r="X27" s="2">
        <v>-0.61014404606932338</v>
      </c>
      <c r="Y27" s="2">
        <v>-0.40722138145220704</v>
      </c>
      <c r="Z27" s="2">
        <v>-0.61014404606932338</v>
      </c>
      <c r="AA27" s="2">
        <v>-0.40722138145220704</v>
      </c>
    </row>
    <row r="28" spans="1:27">
      <c r="A28">
        <v>1635</v>
      </c>
      <c r="B28" s="7">
        <v>0.36</v>
      </c>
      <c r="C28" t="s">
        <v>3</v>
      </c>
      <c r="E28">
        <f t="shared" si="2"/>
        <v>7.399398083331354</v>
      </c>
      <c r="F28" s="7">
        <f t="shared" si="3"/>
        <v>-1.0216512475319814</v>
      </c>
      <c r="G28">
        <f t="shared" si="4"/>
        <v>0</v>
      </c>
      <c r="H28">
        <f t="shared" si="5"/>
        <v>1</v>
      </c>
      <c r="I28">
        <f t="shared" si="6"/>
        <v>0</v>
      </c>
      <c r="J28">
        <f t="shared" si="7"/>
        <v>0</v>
      </c>
      <c r="K28">
        <f t="shared" si="8"/>
        <v>0</v>
      </c>
      <c r="L28">
        <f t="shared" si="9"/>
        <v>0</v>
      </c>
      <c r="M28">
        <f t="shared" si="10"/>
        <v>-1.0216512475319814</v>
      </c>
      <c r="N28">
        <f t="shared" si="11"/>
        <v>0</v>
      </c>
      <c r="O28">
        <f t="shared" si="12"/>
        <v>0</v>
      </c>
      <c r="P28">
        <f t="shared" si="13"/>
        <v>0</v>
      </c>
      <c r="S28" s="2" t="s">
        <v>57</v>
      </c>
      <c r="T28" s="2">
        <v>-0.17500249534925874</v>
      </c>
      <c r="U28" s="2">
        <v>6.4776358205994644E-2</v>
      </c>
      <c r="V28" s="2">
        <v>-2.7016414660536343</v>
      </c>
      <c r="W28" s="2">
        <v>7.2977328433988225E-3</v>
      </c>
      <c r="X28" s="2">
        <v>-0.30248306319029461</v>
      </c>
      <c r="Y28" s="2">
        <v>-4.7521927508222844E-2</v>
      </c>
      <c r="Z28" s="2">
        <v>-0.30248306319029461</v>
      </c>
      <c r="AA28" s="2">
        <v>-4.7521927508222844E-2</v>
      </c>
    </row>
    <row r="29" spans="1:27">
      <c r="A29">
        <v>1485</v>
      </c>
      <c r="B29" s="7">
        <v>0.36</v>
      </c>
      <c r="C29" t="s">
        <v>48</v>
      </c>
      <c r="E29">
        <f t="shared" si="2"/>
        <v>7.3031700512368003</v>
      </c>
      <c r="F29" s="7">
        <f t="shared" si="3"/>
        <v>-1.0216512475319814</v>
      </c>
      <c r="G29">
        <f t="shared" si="4"/>
        <v>0</v>
      </c>
      <c r="H29">
        <f t="shared" si="5"/>
        <v>0</v>
      </c>
      <c r="I29">
        <f t="shared" si="6"/>
        <v>0</v>
      </c>
      <c r="J29">
        <f t="shared" si="7"/>
        <v>1</v>
      </c>
      <c r="K29">
        <f t="shared" si="8"/>
        <v>0</v>
      </c>
      <c r="L29">
        <f t="shared" si="9"/>
        <v>0</v>
      </c>
      <c r="M29">
        <f t="shared" si="10"/>
        <v>0</v>
      </c>
      <c r="N29">
        <f t="shared" si="11"/>
        <v>0</v>
      </c>
      <c r="O29">
        <f t="shared" si="12"/>
        <v>-1.0216512475319814</v>
      </c>
      <c r="P29">
        <f t="shared" si="13"/>
        <v>0</v>
      </c>
      <c r="S29" s="2" t="s">
        <v>58</v>
      </c>
      <c r="T29" s="2">
        <v>-0.19427210458707897</v>
      </c>
      <c r="U29" s="2">
        <v>5.8597437607748423E-2</v>
      </c>
      <c r="V29" s="2">
        <v>-3.3153685983257071</v>
      </c>
      <c r="W29" s="2">
        <v>1.0291677464343992E-3</v>
      </c>
      <c r="X29" s="2">
        <v>-0.30959249040608505</v>
      </c>
      <c r="Y29" s="2">
        <v>-7.8951718768072915E-2</v>
      </c>
      <c r="Z29" s="2">
        <v>-0.30959249040608505</v>
      </c>
      <c r="AA29" s="2">
        <v>-7.8951718768072915E-2</v>
      </c>
    </row>
    <row r="30" spans="1:27">
      <c r="A30">
        <v>1420</v>
      </c>
      <c r="B30" s="7">
        <v>0.37</v>
      </c>
      <c r="C30" t="s">
        <v>3</v>
      </c>
      <c r="E30">
        <f t="shared" si="2"/>
        <v>7.2584121505953068</v>
      </c>
      <c r="F30" s="7">
        <f t="shared" si="3"/>
        <v>-0.9942522733438669</v>
      </c>
      <c r="G30">
        <f t="shared" si="4"/>
        <v>0</v>
      </c>
      <c r="H30">
        <f t="shared" si="5"/>
        <v>1</v>
      </c>
      <c r="I30">
        <f t="shared" si="6"/>
        <v>0</v>
      </c>
      <c r="J30">
        <f t="shared" si="7"/>
        <v>0</v>
      </c>
      <c r="K30">
        <f t="shared" si="8"/>
        <v>0</v>
      </c>
      <c r="L30">
        <f t="shared" si="9"/>
        <v>0</v>
      </c>
      <c r="M30">
        <f t="shared" si="10"/>
        <v>-0.9942522733438669</v>
      </c>
      <c r="N30">
        <f t="shared" si="11"/>
        <v>0</v>
      </c>
      <c r="O30">
        <f t="shared" si="12"/>
        <v>0</v>
      </c>
      <c r="P30">
        <f t="shared" si="13"/>
        <v>0</v>
      </c>
      <c r="S30" s="2" t="s">
        <v>59</v>
      </c>
      <c r="T30" s="2">
        <v>-0.17525382429498174</v>
      </c>
      <c r="U30" s="2">
        <v>5.8843928880107157E-2</v>
      </c>
      <c r="V30" s="2">
        <v>-2.9782821716757977</v>
      </c>
      <c r="W30" s="2">
        <v>3.138516229221241E-3</v>
      </c>
      <c r="X30" s="2">
        <v>-0.2910593075822373</v>
      </c>
      <c r="Y30" s="2">
        <v>-5.9448341007726183E-2</v>
      </c>
      <c r="Z30" s="2">
        <v>-0.2910593075822373</v>
      </c>
      <c r="AA30" s="2">
        <v>-5.9448341007726183E-2</v>
      </c>
    </row>
    <row r="31" spans="1:27">
      <c r="A31">
        <v>1420</v>
      </c>
      <c r="B31" s="7">
        <v>0.37</v>
      </c>
      <c r="C31" t="s">
        <v>48</v>
      </c>
      <c r="E31">
        <f t="shared" si="2"/>
        <v>7.2584121505953068</v>
      </c>
      <c r="F31" s="7">
        <f t="shared" si="3"/>
        <v>-0.9942522733438669</v>
      </c>
      <c r="G31">
        <f t="shared" si="4"/>
        <v>0</v>
      </c>
      <c r="H31">
        <f t="shared" si="5"/>
        <v>0</v>
      </c>
      <c r="I31">
        <f t="shared" si="6"/>
        <v>0</v>
      </c>
      <c r="J31">
        <f t="shared" si="7"/>
        <v>1</v>
      </c>
      <c r="K31">
        <f t="shared" si="8"/>
        <v>0</v>
      </c>
      <c r="L31">
        <f t="shared" si="9"/>
        <v>0</v>
      </c>
      <c r="M31">
        <f t="shared" si="10"/>
        <v>0</v>
      </c>
      <c r="N31">
        <f t="shared" si="11"/>
        <v>0</v>
      </c>
      <c r="O31">
        <f t="shared" si="12"/>
        <v>-0.9942522733438669</v>
      </c>
      <c r="P31">
        <f t="shared" si="13"/>
        <v>0</v>
      </c>
      <c r="S31" s="2" t="s">
        <v>60</v>
      </c>
      <c r="T31" s="2">
        <v>-0.1272624812406471</v>
      </c>
      <c r="U31" s="2">
        <v>6.188746626810418E-2</v>
      </c>
      <c r="V31" s="2">
        <v>-2.056353069769091</v>
      </c>
      <c r="W31" s="2">
        <v>4.0624971681021492E-2</v>
      </c>
      <c r="X31" s="2">
        <v>-0.2490576787571811</v>
      </c>
      <c r="Y31" s="2">
        <v>-5.4672837241131061E-3</v>
      </c>
      <c r="Z31" s="2">
        <v>-0.2490576787571811</v>
      </c>
      <c r="AA31" s="2">
        <v>-5.4672837241131061E-3</v>
      </c>
    </row>
    <row r="32" spans="1:27" ht="15.75" thickBot="1">
      <c r="A32">
        <v>1911</v>
      </c>
      <c r="B32" s="7">
        <v>0.4</v>
      </c>
      <c r="C32" t="s">
        <v>3</v>
      </c>
      <c r="E32">
        <f t="shared" si="2"/>
        <v>7.5553819442402732</v>
      </c>
      <c r="F32" s="7">
        <f t="shared" si="3"/>
        <v>-0.916290731874155</v>
      </c>
      <c r="G32">
        <f t="shared" si="4"/>
        <v>0</v>
      </c>
      <c r="H32">
        <f t="shared" si="5"/>
        <v>1</v>
      </c>
      <c r="I32">
        <f t="shared" si="6"/>
        <v>0</v>
      </c>
      <c r="J32">
        <f t="shared" si="7"/>
        <v>0</v>
      </c>
      <c r="K32">
        <f t="shared" si="8"/>
        <v>0</v>
      </c>
      <c r="L32">
        <f t="shared" si="9"/>
        <v>0</v>
      </c>
      <c r="M32">
        <f t="shared" si="10"/>
        <v>-0.916290731874155</v>
      </c>
      <c r="N32">
        <f t="shared" si="11"/>
        <v>0</v>
      </c>
      <c r="O32">
        <f t="shared" si="12"/>
        <v>0</v>
      </c>
      <c r="P32">
        <f t="shared" si="13"/>
        <v>0</v>
      </c>
      <c r="S32" s="3" t="s">
        <v>61</v>
      </c>
      <c r="T32" s="3">
        <v>-0.13291870056088192</v>
      </c>
      <c r="U32" s="3">
        <v>6.5888208691550459E-2</v>
      </c>
      <c r="V32" s="3">
        <v>-2.0173366858875843</v>
      </c>
      <c r="W32" s="3">
        <v>4.4562752013858294E-2</v>
      </c>
      <c r="X32" s="3">
        <v>-0.26258740208492359</v>
      </c>
      <c r="Y32" s="3">
        <v>-3.2499990368402287E-3</v>
      </c>
      <c r="Z32" s="3">
        <v>-0.26258740208492359</v>
      </c>
      <c r="AA32" s="3">
        <v>-3.2499990368402287E-3</v>
      </c>
    </row>
    <row r="33" spans="1:16">
      <c r="A33">
        <v>1525</v>
      </c>
      <c r="B33" s="7">
        <v>0.4</v>
      </c>
      <c r="C33" t="s">
        <v>48</v>
      </c>
      <c r="E33">
        <f t="shared" si="2"/>
        <v>7.3297496890415124</v>
      </c>
      <c r="F33" s="7">
        <f t="shared" si="3"/>
        <v>-0.916290731874155</v>
      </c>
      <c r="G33">
        <f t="shared" si="4"/>
        <v>0</v>
      </c>
      <c r="H33">
        <f t="shared" si="5"/>
        <v>0</v>
      </c>
      <c r="I33">
        <f t="shared" si="6"/>
        <v>0</v>
      </c>
      <c r="J33">
        <f t="shared" si="7"/>
        <v>1</v>
      </c>
      <c r="K33">
        <f t="shared" si="8"/>
        <v>0</v>
      </c>
      <c r="L33">
        <f t="shared" si="9"/>
        <v>0</v>
      </c>
      <c r="M33">
        <f t="shared" si="10"/>
        <v>0</v>
      </c>
      <c r="N33">
        <f t="shared" si="11"/>
        <v>0</v>
      </c>
      <c r="O33">
        <f t="shared" si="12"/>
        <v>-0.916290731874155</v>
      </c>
      <c r="P33">
        <f t="shared" si="13"/>
        <v>0</v>
      </c>
    </row>
    <row r="34" spans="1:16">
      <c r="A34">
        <v>1956</v>
      </c>
      <c r="B34" s="7">
        <v>0.41</v>
      </c>
      <c r="C34" t="s">
        <v>3</v>
      </c>
      <c r="E34">
        <f t="shared" si="2"/>
        <v>7.5786568505947622</v>
      </c>
      <c r="F34" s="7">
        <f t="shared" si="3"/>
        <v>-0.89159811928378363</v>
      </c>
      <c r="G34">
        <f t="shared" si="4"/>
        <v>0</v>
      </c>
      <c r="H34">
        <f t="shared" si="5"/>
        <v>1</v>
      </c>
      <c r="I34">
        <f t="shared" si="6"/>
        <v>0</v>
      </c>
      <c r="J34">
        <f t="shared" si="7"/>
        <v>0</v>
      </c>
      <c r="K34">
        <f t="shared" si="8"/>
        <v>0</v>
      </c>
      <c r="L34">
        <f t="shared" si="9"/>
        <v>0</v>
      </c>
      <c r="M34">
        <f t="shared" si="10"/>
        <v>-0.89159811928378363</v>
      </c>
      <c r="N34">
        <f t="shared" si="11"/>
        <v>0</v>
      </c>
      <c r="O34">
        <f t="shared" si="12"/>
        <v>0</v>
      </c>
      <c r="P34">
        <f t="shared" si="13"/>
        <v>0</v>
      </c>
    </row>
    <row r="35" spans="1:16">
      <c r="A35">
        <v>1747</v>
      </c>
      <c r="B35" s="7">
        <v>0.43</v>
      </c>
      <c r="C35" t="s">
        <v>48</v>
      </c>
      <c r="E35">
        <f t="shared" si="2"/>
        <v>7.4656553101340561</v>
      </c>
      <c r="F35" s="7">
        <f t="shared" si="3"/>
        <v>-0.84397007029452897</v>
      </c>
      <c r="G35">
        <f t="shared" si="4"/>
        <v>0</v>
      </c>
      <c r="H35">
        <f t="shared" si="5"/>
        <v>0</v>
      </c>
      <c r="I35">
        <f t="shared" si="6"/>
        <v>0</v>
      </c>
      <c r="J35">
        <f t="shared" si="7"/>
        <v>1</v>
      </c>
      <c r="K35">
        <f t="shared" si="8"/>
        <v>0</v>
      </c>
      <c r="L35">
        <f t="shared" si="9"/>
        <v>0</v>
      </c>
      <c r="M35">
        <f t="shared" si="10"/>
        <v>0</v>
      </c>
      <c r="N35">
        <f t="shared" si="11"/>
        <v>0</v>
      </c>
      <c r="O35">
        <f t="shared" si="12"/>
        <v>-0.84397007029452897</v>
      </c>
      <c r="P35">
        <f t="shared" si="13"/>
        <v>0</v>
      </c>
    </row>
    <row r="36" spans="1:16">
      <c r="A36">
        <v>1572</v>
      </c>
      <c r="B36" s="7">
        <v>0.45</v>
      </c>
      <c r="C36" t="s">
        <v>49</v>
      </c>
      <c r="E36">
        <f t="shared" si="2"/>
        <v>7.360103972989152</v>
      </c>
      <c r="F36" s="7">
        <f t="shared" si="3"/>
        <v>-0.79850769621777162</v>
      </c>
      <c r="G36">
        <f t="shared" si="4"/>
        <v>0</v>
      </c>
      <c r="H36">
        <f t="shared" si="5"/>
        <v>0</v>
      </c>
      <c r="I36">
        <f t="shared" si="6"/>
        <v>0</v>
      </c>
      <c r="J36">
        <f t="shared" si="7"/>
        <v>0</v>
      </c>
      <c r="K36">
        <f t="shared" si="8"/>
        <v>1</v>
      </c>
      <c r="L36">
        <f t="shared" si="9"/>
        <v>0</v>
      </c>
      <c r="M36">
        <f t="shared" si="10"/>
        <v>0</v>
      </c>
      <c r="N36">
        <f t="shared" si="11"/>
        <v>0</v>
      </c>
      <c r="O36">
        <f t="shared" si="12"/>
        <v>0</v>
      </c>
      <c r="P36">
        <f t="shared" si="13"/>
        <v>-0.79850769621777162</v>
      </c>
    </row>
    <row r="37" spans="1:16">
      <c r="A37">
        <v>2942</v>
      </c>
      <c r="B37" s="7">
        <v>0.46</v>
      </c>
      <c r="C37" t="s">
        <v>46</v>
      </c>
      <c r="E37">
        <f t="shared" si="2"/>
        <v>7.9868449011613825</v>
      </c>
      <c r="F37" s="7">
        <f t="shared" si="3"/>
        <v>-0.77652878949899629</v>
      </c>
      <c r="G37">
        <f t="shared" si="4"/>
        <v>1</v>
      </c>
      <c r="H37">
        <f t="shared" si="5"/>
        <v>0</v>
      </c>
      <c r="I37">
        <f t="shared" si="6"/>
        <v>0</v>
      </c>
      <c r="J37">
        <f t="shared" si="7"/>
        <v>0</v>
      </c>
      <c r="K37">
        <f t="shared" si="8"/>
        <v>0</v>
      </c>
      <c r="L37">
        <f t="shared" si="9"/>
        <v>-0.77652878949899629</v>
      </c>
      <c r="M37">
        <f t="shared" si="10"/>
        <v>0</v>
      </c>
      <c r="N37">
        <f t="shared" si="11"/>
        <v>0</v>
      </c>
      <c r="O37">
        <f t="shared" si="12"/>
        <v>0</v>
      </c>
      <c r="P37">
        <f t="shared" si="13"/>
        <v>0</v>
      </c>
    </row>
    <row r="38" spans="1:16">
      <c r="A38">
        <v>2532</v>
      </c>
      <c r="B38" s="7">
        <v>0.48</v>
      </c>
      <c r="C38" t="s">
        <v>47</v>
      </c>
      <c r="E38">
        <f t="shared" si="2"/>
        <v>7.8367647832640666</v>
      </c>
      <c r="F38" s="7">
        <f t="shared" si="3"/>
        <v>-0.73396917508020043</v>
      </c>
      <c r="G38">
        <f t="shared" si="4"/>
        <v>0</v>
      </c>
      <c r="H38">
        <f t="shared" si="5"/>
        <v>0</v>
      </c>
      <c r="I38">
        <f t="shared" si="6"/>
        <v>1</v>
      </c>
      <c r="J38">
        <f t="shared" si="7"/>
        <v>0</v>
      </c>
      <c r="K38">
        <f t="shared" si="8"/>
        <v>0</v>
      </c>
      <c r="L38">
        <f t="shared" si="9"/>
        <v>0</v>
      </c>
      <c r="M38">
        <f t="shared" si="10"/>
        <v>0</v>
      </c>
      <c r="N38">
        <f t="shared" si="11"/>
        <v>-0.73396917508020043</v>
      </c>
      <c r="O38">
        <f t="shared" si="12"/>
        <v>0</v>
      </c>
      <c r="P38">
        <f t="shared" si="13"/>
        <v>0</v>
      </c>
    </row>
    <row r="39" spans="1:16">
      <c r="A39">
        <v>3501</v>
      </c>
      <c r="B39" s="7">
        <v>0.5</v>
      </c>
      <c r="C39" t="s">
        <v>46</v>
      </c>
      <c r="E39">
        <f t="shared" si="2"/>
        <v>8.160803920954665</v>
      </c>
      <c r="F39" s="7">
        <f t="shared" si="3"/>
        <v>-0.69314718055994529</v>
      </c>
      <c r="G39">
        <f t="shared" si="4"/>
        <v>1</v>
      </c>
      <c r="H39">
        <f t="shared" si="5"/>
        <v>0</v>
      </c>
      <c r="I39">
        <f t="shared" si="6"/>
        <v>0</v>
      </c>
      <c r="J39">
        <f t="shared" si="7"/>
        <v>0</v>
      </c>
      <c r="K39">
        <f t="shared" si="8"/>
        <v>0</v>
      </c>
      <c r="L39">
        <f t="shared" si="9"/>
        <v>-0.69314718055994529</v>
      </c>
      <c r="M39">
        <f t="shared" si="10"/>
        <v>0</v>
      </c>
      <c r="N39">
        <f t="shared" si="11"/>
        <v>0</v>
      </c>
      <c r="O39">
        <f t="shared" si="12"/>
        <v>0</v>
      </c>
      <c r="P39">
        <f t="shared" si="13"/>
        <v>0</v>
      </c>
    </row>
    <row r="40" spans="1:16">
      <c r="A40">
        <v>3501</v>
      </c>
      <c r="B40" s="7">
        <v>0.5</v>
      </c>
      <c r="C40" t="s">
        <v>46</v>
      </c>
      <c r="E40">
        <f t="shared" si="2"/>
        <v>8.160803920954665</v>
      </c>
      <c r="F40" s="7">
        <f t="shared" si="3"/>
        <v>-0.69314718055994529</v>
      </c>
      <c r="G40">
        <f t="shared" si="4"/>
        <v>1</v>
      </c>
      <c r="H40">
        <f t="shared" si="5"/>
        <v>0</v>
      </c>
      <c r="I40">
        <f t="shared" si="6"/>
        <v>0</v>
      </c>
      <c r="J40">
        <f t="shared" si="7"/>
        <v>0</v>
      </c>
      <c r="K40">
        <f t="shared" si="8"/>
        <v>0</v>
      </c>
      <c r="L40">
        <f t="shared" si="9"/>
        <v>-0.69314718055994529</v>
      </c>
      <c r="M40">
        <f t="shared" si="10"/>
        <v>0</v>
      </c>
      <c r="N40">
        <f t="shared" si="11"/>
        <v>0</v>
      </c>
      <c r="O40">
        <f t="shared" si="12"/>
        <v>0</v>
      </c>
      <c r="P40">
        <f t="shared" si="13"/>
        <v>0</v>
      </c>
    </row>
    <row r="41" spans="1:16">
      <c r="A41">
        <v>3501</v>
      </c>
      <c r="B41" s="7">
        <v>0.5</v>
      </c>
      <c r="C41" t="s">
        <v>3</v>
      </c>
      <c r="E41">
        <f t="shared" si="2"/>
        <v>8.160803920954665</v>
      </c>
      <c r="F41" s="7">
        <f t="shared" si="3"/>
        <v>-0.69314718055994529</v>
      </c>
      <c r="G41">
        <f t="shared" si="4"/>
        <v>0</v>
      </c>
      <c r="H41">
        <f t="shared" si="5"/>
        <v>1</v>
      </c>
      <c r="I41">
        <f t="shared" si="6"/>
        <v>0</v>
      </c>
      <c r="J41">
        <f t="shared" si="7"/>
        <v>0</v>
      </c>
      <c r="K41">
        <f t="shared" si="8"/>
        <v>0</v>
      </c>
      <c r="L41">
        <f t="shared" si="9"/>
        <v>0</v>
      </c>
      <c r="M41">
        <f t="shared" si="10"/>
        <v>-0.69314718055994529</v>
      </c>
      <c r="N41">
        <f t="shared" si="11"/>
        <v>0</v>
      </c>
      <c r="O41">
        <f t="shared" si="12"/>
        <v>0</v>
      </c>
      <c r="P41">
        <f t="shared" si="13"/>
        <v>0</v>
      </c>
    </row>
    <row r="42" spans="1:16">
      <c r="A42">
        <v>3293</v>
      </c>
      <c r="B42" s="7">
        <v>0.5</v>
      </c>
      <c r="C42" t="s">
        <v>3</v>
      </c>
      <c r="E42">
        <f t="shared" si="2"/>
        <v>8.0995542823763635</v>
      </c>
      <c r="F42" s="7">
        <f t="shared" si="3"/>
        <v>-0.69314718055994529</v>
      </c>
      <c r="G42">
        <f t="shared" si="4"/>
        <v>0</v>
      </c>
      <c r="H42">
        <f t="shared" si="5"/>
        <v>1</v>
      </c>
      <c r="I42">
        <f t="shared" si="6"/>
        <v>0</v>
      </c>
      <c r="J42">
        <f t="shared" si="7"/>
        <v>0</v>
      </c>
      <c r="K42">
        <f t="shared" si="8"/>
        <v>0</v>
      </c>
      <c r="L42">
        <f t="shared" si="9"/>
        <v>0</v>
      </c>
      <c r="M42">
        <f t="shared" si="10"/>
        <v>-0.69314718055994529</v>
      </c>
      <c r="N42">
        <f t="shared" si="11"/>
        <v>0</v>
      </c>
      <c r="O42">
        <f t="shared" si="12"/>
        <v>0</v>
      </c>
      <c r="P42">
        <f t="shared" si="13"/>
        <v>0</v>
      </c>
    </row>
    <row r="43" spans="1:16">
      <c r="A43">
        <v>3016</v>
      </c>
      <c r="B43" s="7">
        <v>0.5</v>
      </c>
      <c r="C43" t="s">
        <v>47</v>
      </c>
      <c r="E43">
        <f t="shared" si="2"/>
        <v>8.0116867291278471</v>
      </c>
      <c r="F43" s="7">
        <f t="shared" si="3"/>
        <v>-0.69314718055994529</v>
      </c>
      <c r="G43">
        <f t="shared" si="4"/>
        <v>0</v>
      </c>
      <c r="H43">
        <f t="shared" si="5"/>
        <v>0</v>
      </c>
      <c r="I43">
        <f t="shared" si="6"/>
        <v>1</v>
      </c>
      <c r="J43">
        <f t="shared" si="7"/>
        <v>0</v>
      </c>
      <c r="K43">
        <f t="shared" si="8"/>
        <v>0</v>
      </c>
      <c r="L43">
        <f t="shared" si="9"/>
        <v>0</v>
      </c>
      <c r="M43">
        <f t="shared" si="10"/>
        <v>0</v>
      </c>
      <c r="N43">
        <f t="shared" si="11"/>
        <v>-0.69314718055994529</v>
      </c>
      <c r="O43">
        <f t="shared" si="12"/>
        <v>0</v>
      </c>
      <c r="P43">
        <f t="shared" si="13"/>
        <v>0</v>
      </c>
    </row>
    <row r="44" spans="1:16">
      <c r="A44">
        <v>3567</v>
      </c>
      <c r="B44" s="7">
        <v>0.51</v>
      </c>
      <c r="C44" t="s">
        <v>3</v>
      </c>
      <c r="E44">
        <f t="shared" si="2"/>
        <v>8.1794801853588908</v>
      </c>
      <c r="F44" s="7">
        <f t="shared" si="3"/>
        <v>-0.67334455326376563</v>
      </c>
      <c r="G44">
        <f t="shared" si="4"/>
        <v>0</v>
      </c>
      <c r="H44">
        <f t="shared" si="5"/>
        <v>1</v>
      </c>
      <c r="I44">
        <f t="shared" si="6"/>
        <v>0</v>
      </c>
      <c r="J44">
        <f t="shared" si="7"/>
        <v>0</v>
      </c>
      <c r="K44">
        <f t="shared" si="8"/>
        <v>0</v>
      </c>
      <c r="L44">
        <f t="shared" si="9"/>
        <v>0</v>
      </c>
      <c r="M44">
        <f t="shared" si="10"/>
        <v>-0.67334455326376563</v>
      </c>
      <c r="N44">
        <f t="shared" si="11"/>
        <v>0</v>
      </c>
      <c r="O44">
        <f t="shared" si="12"/>
        <v>0</v>
      </c>
      <c r="P44">
        <f t="shared" si="13"/>
        <v>0</v>
      </c>
    </row>
    <row r="45" spans="1:16">
      <c r="A45">
        <v>3205</v>
      </c>
      <c r="B45" s="7">
        <v>0.51</v>
      </c>
      <c r="C45" t="s">
        <v>47</v>
      </c>
      <c r="E45">
        <f t="shared" si="2"/>
        <v>8.0724673693547704</v>
      </c>
      <c r="F45" s="7">
        <f t="shared" si="3"/>
        <v>-0.67334455326376563</v>
      </c>
      <c r="G45">
        <f t="shared" si="4"/>
        <v>0</v>
      </c>
      <c r="H45">
        <f t="shared" si="5"/>
        <v>0</v>
      </c>
      <c r="I45">
        <f t="shared" si="6"/>
        <v>1</v>
      </c>
      <c r="J45">
        <f t="shared" si="7"/>
        <v>0</v>
      </c>
      <c r="K45">
        <f t="shared" si="8"/>
        <v>0</v>
      </c>
      <c r="L45">
        <f t="shared" si="9"/>
        <v>0</v>
      </c>
      <c r="M45">
        <f t="shared" si="10"/>
        <v>0</v>
      </c>
      <c r="N45">
        <f t="shared" si="11"/>
        <v>-0.67334455326376563</v>
      </c>
      <c r="O45">
        <f t="shared" si="12"/>
        <v>0</v>
      </c>
      <c r="P45">
        <f t="shared" si="13"/>
        <v>0</v>
      </c>
    </row>
    <row r="46" spans="1:16">
      <c r="A46">
        <v>3490</v>
      </c>
      <c r="B46" s="7">
        <v>0.52</v>
      </c>
      <c r="C46" t="s">
        <v>45</v>
      </c>
      <c r="E46">
        <f t="shared" si="2"/>
        <v>8.157657015196472</v>
      </c>
      <c r="F46" s="7">
        <f t="shared" si="3"/>
        <v>-0.65392646740666394</v>
      </c>
      <c r="G46">
        <f t="shared" si="4"/>
        <v>0</v>
      </c>
      <c r="H46">
        <f t="shared" si="5"/>
        <v>0</v>
      </c>
      <c r="I46">
        <f t="shared" si="6"/>
        <v>0</v>
      </c>
      <c r="J46">
        <f t="shared" si="7"/>
        <v>0</v>
      </c>
      <c r="K46">
        <f t="shared" si="8"/>
        <v>0</v>
      </c>
      <c r="L46">
        <f t="shared" si="9"/>
        <v>0</v>
      </c>
      <c r="M46">
        <f t="shared" si="10"/>
        <v>0</v>
      </c>
      <c r="N46">
        <f t="shared" si="11"/>
        <v>0</v>
      </c>
      <c r="O46">
        <f t="shared" si="12"/>
        <v>0</v>
      </c>
      <c r="P46">
        <f t="shared" si="13"/>
        <v>0</v>
      </c>
    </row>
    <row r="47" spans="1:16">
      <c r="A47">
        <v>3635</v>
      </c>
      <c r="B47" s="7">
        <v>0.52</v>
      </c>
      <c r="C47" t="s">
        <v>46</v>
      </c>
      <c r="E47">
        <f t="shared" si="2"/>
        <v>8.1983643899676206</v>
      </c>
      <c r="F47" s="7">
        <f t="shared" si="3"/>
        <v>-0.65392646740666394</v>
      </c>
      <c r="G47">
        <f t="shared" si="4"/>
        <v>1</v>
      </c>
      <c r="H47">
        <f t="shared" si="5"/>
        <v>0</v>
      </c>
      <c r="I47">
        <f t="shared" si="6"/>
        <v>0</v>
      </c>
      <c r="J47">
        <f t="shared" si="7"/>
        <v>0</v>
      </c>
      <c r="K47">
        <f t="shared" si="8"/>
        <v>0</v>
      </c>
      <c r="L47">
        <f t="shared" si="9"/>
        <v>-0.65392646740666394</v>
      </c>
      <c r="M47">
        <f t="shared" si="10"/>
        <v>0</v>
      </c>
      <c r="N47">
        <f t="shared" si="11"/>
        <v>0</v>
      </c>
      <c r="O47">
        <f t="shared" si="12"/>
        <v>0</v>
      </c>
      <c r="P47">
        <f t="shared" si="13"/>
        <v>0</v>
      </c>
    </row>
    <row r="48" spans="1:16">
      <c r="A48">
        <v>3635</v>
      </c>
      <c r="B48" s="7">
        <v>0.52</v>
      </c>
      <c r="C48" t="s">
        <v>3</v>
      </c>
      <c r="E48">
        <f t="shared" si="2"/>
        <v>8.1983643899676206</v>
      </c>
      <c r="F48" s="7">
        <f t="shared" si="3"/>
        <v>-0.65392646740666394</v>
      </c>
      <c r="G48">
        <f t="shared" si="4"/>
        <v>0</v>
      </c>
      <c r="H48">
        <f t="shared" si="5"/>
        <v>1</v>
      </c>
      <c r="I48">
        <f t="shared" si="6"/>
        <v>0</v>
      </c>
      <c r="J48">
        <f t="shared" si="7"/>
        <v>0</v>
      </c>
      <c r="K48">
        <f t="shared" si="8"/>
        <v>0</v>
      </c>
      <c r="L48">
        <f t="shared" si="9"/>
        <v>0</v>
      </c>
      <c r="M48">
        <f t="shared" si="10"/>
        <v>-0.65392646740666394</v>
      </c>
      <c r="N48">
        <f t="shared" si="11"/>
        <v>0</v>
      </c>
      <c r="O48">
        <f t="shared" si="12"/>
        <v>0</v>
      </c>
      <c r="P48">
        <f t="shared" si="13"/>
        <v>0</v>
      </c>
    </row>
    <row r="49" spans="1:16">
      <c r="A49">
        <v>3418</v>
      </c>
      <c r="B49" s="7">
        <v>0.52</v>
      </c>
      <c r="C49" t="s">
        <v>3</v>
      </c>
      <c r="E49">
        <f t="shared" si="2"/>
        <v>8.136810863675537</v>
      </c>
      <c r="F49" s="7">
        <f t="shared" si="3"/>
        <v>-0.65392646740666394</v>
      </c>
      <c r="G49">
        <f t="shared" si="4"/>
        <v>0</v>
      </c>
      <c r="H49">
        <f t="shared" si="5"/>
        <v>1</v>
      </c>
      <c r="I49">
        <f t="shared" si="6"/>
        <v>0</v>
      </c>
      <c r="J49">
        <f t="shared" si="7"/>
        <v>0</v>
      </c>
      <c r="K49">
        <f t="shared" si="8"/>
        <v>0</v>
      </c>
      <c r="L49">
        <f t="shared" si="9"/>
        <v>0</v>
      </c>
      <c r="M49">
        <f t="shared" si="10"/>
        <v>-0.65392646740666394</v>
      </c>
      <c r="N49">
        <f t="shared" si="11"/>
        <v>0</v>
      </c>
      <c r="O49">
        <f t="shared" si="12"/>
        <v>0</v>
      </c>
      <c r="P49">
        <f t="shared" si="13"/>
        <v>0</v>
      </c>
    </row>
    <row r="50" spans="1:16">
      <c r="A50">
        <v>3921</v>
      </c>
      <c r="B50" s="7">
        <v>0.53</v>
      </c>
      <c r="C50" t="s">
        <v>45</v>
      </c>
      <c r="E50">
        <f t="shared" si="2"/>
        <v>8.2741020022923308</v>
      </c>
      <c r="F50" s="7">
        <f t="shared" si="3"/>
        <v>-0.6348782724359695</v>
      </c>
      <c r="G50">
        <f t="shared" si="4"/>
        <v>0</v>
      </c>
      <c r="H50">
        <f t="shared" si="5"/>
        <v>0</v>
      </c>
      <c r="I50">
        <f t="shared" si="6"/>
        <v>0</v>
      </c>
      <c r="J50">
        <f t="shared" si="7"/>
        <v>0</v>
      </c>
      <c r="K50">
        <f t="shared" si="8"/>
        <v>0</v>
      </c>
      <c r="L50">
        <f t="shared" si="9"/>
        <v>0</v>
      </c>
      <c r="M50">
        <f t="shared" si="10"/>
        <v>0</v>
      </c>
      <c r="N50">
        <f t="shared" si="11"/>
        <v>0</v>
      </c>
      <c r="O50">
        <f t="shared" si="12"/>
        <v>0</v>
      </c>
      <c r="P50">
        <f t="shared" si="13"/>
        <v>0</v>
      </c>
    </row>
    <row r="51" spans="1:16">
      <c r="A51">
        <v>3701</v>
      </c>
      <c r="B51" s="7">
        <v>0.53</v>
      </c>
      <c r="C51" t="s">
        <v>3</v>
      </c>
      <c r="E51">
        <f t="shared" si="2"/>
        <v>8.2163583323861555</v>
      </c>
      <c r="F51" s="7">
        <f t="shared" si="3"/>
        <v>-0.6348782724359695</v>
      </c>
      <c r="G51">
        <f t="shared" si="4"/>
        <v>0</v>
      </c>
      <c r="H51">
        <f t="shared" si="5"/>
        <v>1</v>
      </c>
      <c r="I51">
        <f t="shared" si="6"/>
        <v>0</v>
      </c>
      <c r="J51">
        <f t="shared" si="7"/>
        <v>0</v>
      </c>
      <c r="K51">
        <f t="shared" si="8"/>
        <v>0</v>
      </c>
      <c r="L51">
        <f t="shared" si="9"/>
        <v>0</v>
      </c>
      <c r="M51">
        <f t="shared" si="10"/>
        <v>-0.6348782724359695</v>
      </c>
      <c r="N51">
        <f t="shared" si="11"/>
        <v>0</v>
      </c>
      <c r="O51">
        <f t="shared" si="12"/>
        <v>0</v>
      </c>
      <c r="P51">
        <f t="shared" si="13"/>
        <v>0</v>
      </c>
    </row>
    <row r="52" spans="1:16">
      <c r="A52">
        <v>3480</v>
      </c>
      <c r="B52" s="7">
        <v>0.53</v>
      </c>
      <c r="C52" t="s">
        <v>3</v>
      </c>
      <c r="E52">
        <f t="shared" si="2"/>
        <v>8.1547875727685195</v>
      </c>
      <c r="F52" s="7">
        <f t="shared" si="3"/>
        <v>-0.6348782724359695</v>
      </c>
      <c r="G52">
        <f t="shared" si="4"/>
        <v>0</v>
      </c>
      <c r="H52">
        <f t="shared" si="5"/>
        <v>1</v>
      </c>
      <c r="I52">
        <f t="shared" si="6"/>
        <v>0</v>
      </c>
      <c r="J52">
        <f t="shared" si="7"/>
        <v>0</v>
      </c>
      <c r="K52">
        <f t="shared" si="8"/>
        <v>0</v>
      </c>
      <c r="L52">
        <f t="shared" si="9"/>
        <v>0</v>
      </c>
      <c r="M52">
        <f t="shared" si="10"/>
        <v>-0.6348782724359695</v>
      </c>
      <c r="N52">
        <f t="shared" si="11"/>
        <v>0</v>
      </c>
      <c r="O52">
        <f t="shared" si="12"/>
        <v>0</v>
      </c>
      <c r="P52">
        <f t="shared" si="13"/>
        <v>0</v>
      </c>
    </row>
    <row r="53" spans="1:16">
      <c r="A53">
        <v>3407</v>
      </c>
      <c r="B53" s="7">
        <v>0.53</v>
      </c>
      <c r="C53" t="s">
        <v>47</v>
      </c>
      <c r="E53">
        <f t="shared" si="2"/>
        <v>8.1335874176609657</v>
      </c>
      <c r="F53" s="7">
        <f t="shared" si="3"/>
        <v>-0.6348782724359695</v>
      </c>
      <c r="G53">
        <f t="shared" si="4"/>
        <v>0</v>
      </c>
      <c r="H53">
        <f t="shared" si="5"/>
        <v>0</v>
      </c>
      <c r="I53">
        <f t="shared" si="6"/>
        <v>1</v>
      </c>
      <c r="J53">
        <f t="shared" si="7"/>
        <v>0</v>
      </c>
      <c r="K53">
        <f t="shared" si="8"/>
        <v>0</v>
      </c>
      <c r="L53">
        <f t="shared" si="9"/>
        <v>0</v>
      </c>
      <c r="M53">
        <f t="shared" si="10"/>
        <v>0</v>
      </c>
      <c r="N53">
        <f t="shared" si="11"/>
        <v>-0.6348782724359695</v>
      </c>
      <c r="O53">
        <f t="shared" si="12"/>
        <v>0</v>
      </c>
      <c r="P53">
        <f t="shared" si="13"/>
        <v>0</v>
      </c>
    </row>
    <row r="54" spans="1:16">
      <c r="A54">
        <v>3767</v>
      </c>
      <c r="B54" s="7">
        <v>0.54</v>
      </c>
      <c r="C54" t="s">
        <v>46</v>
      </c>
      <c r="E54">
        <f t="shared" si="2"/>
        <v>8.2340342076920408</v>
      </c>
      <c r="F54" s="7">
        <f t="shared" si="3"/>
        <v>-0.61618613942381695</v>
      </c>
      <c r="G54">
        <f t="shared" si="4"/>
        <v>1</v>
      </c>
      <c r="H54">
        <f t="shared" si="5"/>
        <v>0</v>
      </c>
      <c r="I54">
        <f t="shared" si="6"/>
        <v>0</v>
      </c>
      <c r="J54">
        <f t="shared" si="7"/>
        <v>0</v>
      </c>
      <c r="K54">
        <f t="shared" si="8"/>
        <v>0</v>
      </c>
      <c r="L54">
        <f t="shared" si="9"/>
        <v>-0.61618613942381695</v>
      </c>
      <c r="M54">
        <f t="shared" si="10"/>
        <v>0</v>
      </c>
      <c r="N54">
        <f t="shared" si="11"/>
        <v>0</v>
      </c>
      <c r="O54">
        <f t="shared" si="12"/>
        <v>0</v>
      </c>
      <c r="P54">
        <f t="shared" si="13"/>
        <v>0</v>
      </c>
    </row>
    <row r="55" spans="1:16">
      <c r="A55">
        <v>4066</v>
      </c>
      <c r="B55" s="7">
        <v>0.54</v>
      </c>
      <c r="C55" t="s">
        <v>3</v>
      </c>
      <c r="E55">
        <f t="shared" si="2"/>
        <v>8.3104149941882923</v>
      </c>
      <c r="F55" s="7">
        <f t="shared" si="3"/>
        <v>-0.61618613942381695</v>
      </c>
      <c r="G55">
        <f t="shared" si="4"/>
        <v>0</v>
      </c>
      <c r="H55">
        <f t="shared" si="5"/>
        <v>1</v>
      </c>
      <c r="I55">
        <f t="shared" si="6"/>
        <v>0</v>
      </c>
      <c r="J55">
        <f t="shared" si="7"/>
        <v>0</v>
      </c>
      <c r="K55">
        <f t="shared" si="8"/>
        <v>0</v>
      </c>
      <c r="L55">
        <f t="shared" si="9"/>
        <v>0</v>
      </c>
      <c r="M55">
        <f t="shared" si="10"/>
        <v>-0.61618613942381695</v>
      </c>
      <c r="N55">
        <f t="shared" si="11"/>
        <v>0</v>
      </c>
      <c r="O55">
        <f t="shared" si="12"/>
        <v>0</v>
      </c>
      <c r="P55">
        <f t="shared" si="13"/>
        <v>0</v>
      </c>
    </row>
    <row r="56" spans="1:16">
      <c r="A56">
        <v>4138</v>
      </c>
      <c r="B56" s="7">
        <v>0.55000000000000004</v>
      </c>
      <c r="C56" t="s">
        <v>46</v>
      </c>
      <c r="E56">
        <f t="shared" si="2"/>
        <v>8.3279678583054881</v>
      </c>
      <c r="F56" s="7">
        <f t="shared" si="3"/>
        <v>-0.59783700075562041</v>
      </c>
      <c r="G56">
        <f t="shared" si="4"/>
        <v>1</v>
      </c>
      <c r="H56">
        <f t="shared" si="5"/>
        <v>0</v>
      </c>
      <c r="I56">
        <f t="shared" si="6"/>
        <v>0</v>
      </c>
      <c r="J56">
        <f t="shared" si="7"/>
        <v>0</v>
      </c>
      <c r="K56">
        <f t="shared" si="8"/>
        <v>0</v>
      </c>
      <c r="L56">
        <f t="shared" si="9"/>
        <v>-0.59783700075562041</v>
      </c>
      <c r="M56">
        <f t="shared" si="10"/>
        <v>0</v>
      </c>
      <c r="N56">
        <f t="shared" si="11"/>
        <v>0</v>
      </c>
      <c r="O56">
        <f t="shared" si="12"/>
        <v>0</v>
      </c>
      <c r="P56">
        <f t="shared" si="13"/>
        <v>0</v>
      </c>
    </row>
    <row r="57" spans="1:16">
      <c r="A57">
        <v>3605</v>
      </c>
      <c r="B57" s="7">
        <v>0.55000000000000004</v>
      </c>
      <c r="C57" t="s">
        <v>3</v>
      </c>
      <c r="E57">
        <f t="shared" si="2"/>
        <v>8.1900770497190489</v>
      </c>
      <c r="F57" s="7">
        <f t="shared" si="3"/>
        <v>-0.59783700075562041</v>
      </c>
      <c r="G57">
        <f t="shared" si="4"/>
        <v>0</v>
      </c>
      <c r="H57">
        <f t="shared" si="5"/>
        <v>1</v>
      </c>
      <c r="I57">
        <f t="shared" si="6"/>
        <v>0</v>
      </c>
      <c r="J57">
        <f t="shared" si="7"/>
        <v>0</v>
      </c>
      <c r="K57">
        <f t="shared" si="8"/>
        <v>0</v>
      </c>
      <c r="L57">
        <f t="shared" si="9"/>
        <v>0</v>
      </c>
      <c r="M57">
        <f t="shared" si="10"/>
        <v>-0.59783700075562041</v>
      </c>
      <c r="N57">
        <f t="shared" si="11"/>
        <v>0</v>
      </c>
      <c r="O57">
        <f t="shared" si="12"/>
        <v>0</v>
      </c>
      <c r="P57">
        <f t="shared" si="13"/>
        <v>0</v>
      </c>
    </row>
    <row r="58" spans="1:16">
      <c r="A58">
        <v>3529</v>
      </c>
      <c r="B58" s="7">
        <v>0.55000000000000004</v>
      </c>
      <c r="C58" t="s">
        <v>47</v>
      </c>
      <c r="E58">
        <f t="shared" si="2"/>
        <v>8.1687698236752695</v>
      </c>
      <c r="F58" s="7">
        <f t="shared" si="3"/>
        <v>-0.59783700075562041</v>
      </c>
      <c r="G58">
        <f t="shared" si="4"/>
        <v>0</v>
      </c>
      <c r="H58">
        <f t="shared" si="5"/>
        <v>0</v>
      </c>
      <c r="I58">
        <f t="shared" si="6"/>
        <v>1</v>
      </c>
      <c r="J58">
        <f t="shared" si="7"/>
        <v>0</v>
      </c>
      <c r="K58">
        <f t="shared" si="8"/>
        <v>0</v>
      </c>
      <c r="L58">
        <f t="shared" si="9"/>
        <v>0</v>
      </c>
      <c r="M58">
        <f t="shared" si="10"/>
        <v>0</v>
      </c>
      <c r="N58">
        <f t="shared" si="11"/>
        <v>-0.59783700075562041</v>
      </c>
      <c r="O58">
        <f t="shared" si="12"/>
        <v>0</v>
      </c>
      <c r="P58">
        <f t="shared" si="13"/>
        <v>0</v>
      </c>
    </row>
    <row r="59" spans="1:16">
      <c r="A59">
        <v>3667</v>
      </c>
      <c r="B59" s="7">
        <v>0.56000000000000005</v>
      </c>
      <c r="C59" t="s">
        <v>3</v>
      </c>
      <c r="E59">
        <f t="shared" si="2"/>
        <v>8.2071291680713259</v>
      </c>
      <c r="F59" s="7">
        <f t="shared" si="3"/>
        <v>-0.57981849525294205</v>
      </c>
      <c r="G59">
        <f t="shared" si="4"/>
        <v>0</v>
      </c>
      <c r="H59">
        <f t="shared" si="5"/>
        <v>1</v>
      </c>
      <c r="I59">
        <f t="shared" si="6"/>
        <v>0</v>
      </c>
      <c r="J59">
        <f t="shared" si="7"/>
        <v>0</v>
      </c>
      <c r="K59">
        <f t="shared" si="8"/>
        <v>0</v>
      </c>
      <c r="L59">
        <f t="shared" si="9"/>
        <v>0</v>
      </c>
      <c r="M59">
        <f t="shared" si="10"/>
        <v>-0.57981849525294205</v>
      </c>
      <c r="N59">
        <f t="shared" si="11"/>
        <v>0</v>
      </c>
      <c r="O59">
        <f t="shared" si="12"/>
        <v>0</v>
      </c>
      <c r="P59">
        <f t="shared" si="13"/>
        <v>0</v>
      </c>
    </row>
    <row r="60" spans="1:16">
      <c r="A60">
        <v>2892</v>
      </c>
      <c r="B60" s="7">
        <v>0.56000000000000005</v>
      </c>
      <c r="C60" t="s">
        <v>49</v>
      </c>
      <c r="E60">
        <f t="shared" si="2"/>
        <v>7.9697035832786556</v>
      </c>
      <c r="F60" s="7">
        <f t="shared" si="3"/>
        <v>-0.57981849525294205</v>
      </c>
      <c r="G60">
        <f t="shared" si="4"/>
        <v>0</v>
      </c>
      <c r="H60">
        <f t="shared" si="5"/>
        <v>0</v>
      </c>
      <c r="I60">
        <f t="shared" si="6"/>
        <v>0</v>
      </c>
      <c r="J60">
        <f t="shared" si="7"/>
        <v>0</v>
      </c>
      <c r="K60">
        <f t="shared" si="8"/>
        <v>1</v>
      </c>
      <c r="L60">
        <f t="shared" si="9"/>
        <v>0</v>
      </c>
      <c r="M60">
        <f t="shared" si="10"/>
        <v>0</v>
      </c>
      <c r="N60">
        <f t="shared" si="11"/>
        <v>0</v>
      </c>
      <c r="O60">
        <f t="shared" si="12"/>
        <v>0</v>
      </c>
      <c r="P60">
        <f t="shared" si="13"/>
        <v>-0.57981849525294205</v>
      </c>
    </row>
    <row r="61" spans="1:16">
      <c r="A61">
        <v>3651</v>
      </c>
      <c r="B61" s="7">
        <v>0.56999999999999995</v>
      </c>
      <c r="C61" t="s">
        <v>47</v>
      </c>
      <c r="E61">
        <f t="shared" si="2"/>
        <v>8.2027563816556377</v>
      </c>
      <c r="F61" s="7">
        <f t="shared" si="3"/>
        <v>-0.56211891815354131</v>
      </c>
      <c r="G61">
        <f t="shared" si="4"/>
        <v>0</v>
      </c>
      <c r="H61">
        <f t="shared" si="5"/>
        <v>0</v>
      </c>
      <c r="I61">
        <f t="shared" si="6"/>
        <v>1</v>
      </c>
      <c r="J61">
        <f t="shared" si="7"/>
        <v>0</v>
      </c>
      <c r="K61">
        <f t="shared" si="8"/>
        <v>0</v>
      </c>
      <c r="L61">
        <f t="shared" si="9"/>
        <v>0</v>
      </c>
      <c r="M61">
        <f t="shared" si="10"/>
        <v>0</v>
      </c>
      <c r="N61">
        <f t="shared" si="11"/>
        <v>-0.56211891815354131</v>
      </c>
      <c r="O61">
        <f t="shared" si="12"/>
        <v>0</v>
      </c>
      <c r="P61">
        <f t="shared" si="13"/>
        <v>0</v>
      </c>
    </row>
    <row r="62" spans="1:16">
      <c r="A62">
        <v>3773</v>
      </c>
      <c r="B62" s="7">
        <v>0.59</v>
      </c>
      <c r="C62" t="s">
        <v>47</v>
      </c>
      <c r="E62">
        <f t="shared" si="2"/>
        <v>8.235625719964311</v>
      </c>
      <c r="F62" s="7">
        <f t="shared" si="3"/>
        <v>-0.52763274208237199</v>
      </c>
      <c r="G62">
        <f t="shared" si="4"/>
        <v>0</v>
      </c>
      <c r="H62">
        <f t="shared" si="5"/>
        <v>0</v>
      </c>
      <c r="I62">
        <f t="shared" si="6"/>
        <v>1</v>
      </c>
      <c r="J62">
        <f t="shared" si="7"/>
        <v>0</v>
      </c>
      <c r="K62">
        <f t="shared" si="8"/>
        <v>0</v>
      </c>
      <c r="L62">
        <f t="shared" si="9"/>
        <v>0</v>
      </c>
      <c r="M62">
        <f t="shared" si="10"/>
        <v>0</v>
      </c>
      <c r="N62">
        <f t="shared" si="11"/>
        <v>-0.52763274208237199</v>
      </c>
      <c r="O62">
        <f t="shared" si="12"/>
        <v>0</v>
      </c>
      <c r="P62">
        <f t="shared" si="13"/>
        <v>0</v>
      </c>
    </row>
    <row r="63" spans="1:16">
      <c r="A63">
        <v>4291</v>
      </c>
      <c r="B63" s="7">
        <v>0.6</v>
      </c>
      <c r="C63" t="s">
        <v>3</v>
      </c>
      <c r="E63">
        <f t="shared" si="2"/>
        <v>8.3642750849915242</v>
      </c>
      <c r="F63" s="7">
        <f t="shared" si="3"/>
        <v>-0.51082562376599072</v>
      </c>
      <c r="G63">
        <f t="shared" si="4"/>
        <v>0</v>
      </c>
      <c r="H63">
        <f t="shared" si="5"/>
        <v>1</v>
      </c>
      <c r="I63">
        <f t="shared" si="6"/>
        <v>0</v>
      </c>
      <c r="J63">
        <f t="shared" si="7"/>
        <v>0</v>
      </c>
      <c r="K63">
        <f t="shared" si="8"/>
        <v>0</v>
      </c>
      <c r="L63">
        <f t="shared" si="9"/>
        <v>0</v>
      </c>
      <c r="M63">
        <f t="shared" si="10"/>
        <v>-0.51082562376599072</v>
      </c>
      <c r="N63">
        <f t="shared" si="11"/>
        <v>0</v>
      </c>
      <c r="O63">
        <f t="shared" si="12"/>
        <v>0</v>
      </c>
      <c r="P63">
        <f t="shared" si="13"/>
        <v>0</v>
      </c>
    </row>
    <row r="64" spans="1:16">
      <c r="A64">
        <v>5845</v>
      </c>
      <c r="B64" s="7">
        <v>0.62</v>
      </c>
      <c r="C64" t="s">
        <v>46</v>
      </c>
      <c r="E64">
        <f t="shared" si="2"/>
        <v>8.6733418739061694</v>
      </c>
      <c r="F64" s="7">
        <f t="shared" si="3"/>
        <v>-0.4780358009429998</v>
      </c>
      <c r="G64">
        <f t="shared" si="4"/>
        <v>1</v>
      </c>
      <c r="H64">
        <f t="shared" si="5"/>
        <v>0</v>
      </c>
      <c r="I64">
        <f t="shared" si="6"/>
        <v>0</v>
      </c>
      <c r="J64">
        <f t="shared" si="7"/>
        <v>0</v>
      </c>
      <c r="K64">
        <f t="shared" si="8"/>
        <v>0</v>
      </c>
      <c r="L64">
        <f t="shared" si="9"/>
        <v>-0.4780358009429998</v>
      </c>
      <c r="M64">
        <f t="shared" si="10"/>
        <v>0</v>
      </c>
      <c r="N64">
        <f t="shared" si="11"/>
        <v>0</v>
      </c>
      <c r="O64">
        <f t="shared" si="12"/>
        <v>0</v>
      </c>
      <c r="P64">
        <f t="shared" si="13"/>
        <v>0</v>
      </c>
    </row>
    <row r="65" spans="1:16">
      <c r="A65">
        <v>4401</v>
      </c>
      <c r="B65" s="7">
        <v>0.63</v>
      </c>
      <c r="C65" t="s">
        <v>47</v>
      </c>
      <c r="E65">
        <f t="shared" si="2"/>
        <v>8.3895870668110906</v>
      </c>
      <c r="F65" s="7">
        <f t="shared" si="3"/>
        <v>-0.46203545959655867</v>
      </c>
      <c r="G65">
        <f t="shared" si="4"/>
        <v>0</v>
      </c>
      <c r="H65">
        <f t="shared" si="5"/>
        <v>0</v>
      </c>
      <c r="I65">
        <f t="shared" si="6"/>
        <v>1</v>
      </c>
      <c r="J65">
        <f t="shared" si="7"/>
        <v>0</v>
      </c>
      <c r="K65">
        <f t="shared" si="8"/>
        <v>0</v>
      </c>
      <c r="L65">
        <f t="shared" si="9"/>
        <v>0</v>
      </c>
      <c r="M65">
        <f t="shared" si="10"/>
        <v>0</v>
      </c>
      <c r="N65">
        <f t="shared" si="11"/>
        <v>-0.46203545959655867</v>
      </c>
      <c r="O65">
        <f t="shared" si="12"/>
        <v>0</v>
      </c>
      <c r="P65">
        <f t="shared" si="13"/>
        <v>0</v>
      </c>
    </row>
    <row r="66" spans="1:16">
      <c r="A66">
        <v>4759</v>
      </c>
      <c r="B66" s="7">
        <v>0.64</v>
      </c>
      <c r="C66" t="s">
        <v>47</v>
      </c>
      <c r="E66">
        <f t="shared" si="2"/>
        <v>8.4677928411211099</v>
      </c>
      <c r="F66" s="7">
        <f t="shared" si="3"/>
        <v>-0.44628710262841947</v>
      </c>
      <c r="G66">
        <f t="shared" si="4"/>
        <v>0</v>
      </c>
      <c r="H66">
        <f t="shared" si="5"/>
        <v>0</v>
      </c>
      <c r="I66">
        <f t="shared" si="6"/>
        <v>1</v>
      </c>
      <c r="J66">
        <f t="shared" si="7"/>
        <v>0</v>
      </c>
      <c r="K66">
        <f t="shared" si="8"/>
        <v>0</v>
      </c>
      <c r="L66">
        <f t="shared" si="9"/>
        <v>0</v>
      </c>
      <c r="M66">
        <f t="shared" si="10"/>
        <v>0</v>
      </c>
      <c r="N66">
        <f t="shared" si="11"/>
        <v>-0.44628710262841947</v>
      </c>
      <c r="O66">
        <f t="shared" si="12"/>
        <v>0</v>
      </c>
      <c r="P66">
        <f t="shared" si="13"/>
        <v>0</v>
      </c>
    </row>
    <row r="67" spans="1:16">
      <c r="A67">
        <v>4300</v>
      </c>
      <c r="B67" s="7">
        <v>0.66</v>
      </c>
      <c r="C67" t="s">
        <v>48</v>
      </c>
      <c r="E67">
        <f t="shared" si="2"/>
        <v>8.3663703016816537</v>
      </c>
      <c r="F67" s="7">
        <f t="shared" si="3"/>
        <v>-0.41551544396166579</v>
      </c>
      <c r="G67">
        <f t="shared" si="4"/>
        <v>0</v>
      </c>
      <c r="H67">
        <f t="shared" si="5"/>
        <v>0</v>
      </c>
      <c r="I67">
        <f t="shared" si="6"/>
        <v>0</v>
      </c>
      <c r="J67">
        <f t="shared" si="7"/>
        <v>1</v>
      </c>
      <c r="K67">
        <f t="shared" si="8"/>
        <v>0</v>
      </c>
      <c r="L67">
        <f t="shared" si="9"/>
        <v>0</v>
      </c>
      <c r="M67">
        <f t="shared" si="10"/>
        <v>0</v>
      </c>
      <c r="N67">
        <f t="shared" si="11"/>
        <v>0</v>
      </c>
      <c r="O67">
        <f t="shared" si="12"/>
        <v>-0.41551544396166579</v>
      </c>
      <c r="P67">
        <f t="shared" si="13"/>
        <v>0</v>
      </c>
    </row>
    <row r="68" spans="1:16">
      <c r="A68">
        <v>5510</v>
      </c>
      <c r="B68" s="7">
        <v>0.7</v>
      </c>
      <c r="C68" t="s">
        <v>3</v>
      </c>
      <c r="E68">
        <f t="shared" si="2"/>
        <v>8.6143199021469599</v>
      </c>
      <c r="F68" s="7">
        <f t="shared" si="3"/>
        <v>-0.35667494393873245</v>
      </c>
      <c r="G68">
        <f t="shared" si="4"/>
        <v>0</v>
      </c>
      <c r="H68">
        <f t="shared" si="5"/>
        <v>1</v>
      </c>
      <c r="I68">
        <f t="shared" si="6"/>
        <v>0</v>
      </c>
      <c r="J68">
        <f t="shared" si="7"/>
        <v>0</v>
      </c>
      <c r="K68">
        <f t="shared" si="8"/>
        <v>0</v>
      </c>
      <c r="L68">
        <f t="shared" si="9"/>
        <v>0</v>
      </c>
      <c r="M68">
        <f t="shared" si="10"/>
        <v>-0.35667494393873245</v>
      </c>
      <c r="N68">
        <f t="shared" si="11"/>
        <v>0</v>
      </c>
      <c r="O68">
        <f t="shared" si="12"/>
        <v>0</v>
      </c>
      <c r="P68">
        <f t="shared" si="13"/>
        <v>0</v>
      </c>
    </row>
    <row r="69" spans="1:16">
      <c r="A69">
        <v>5122</v>
      </c>
      <c r="B69" s="7">
        <v>0.7</v>
      </c>
      <c r="C69" t="s">
        <v>47</v>
      </c>
      <c r="E69">
        <f t="shared" ref="E69:E132" si="14">LN(A69)</f>
        <v>8.5413002667594711</v>
      </c>
      <c r="F69" s="7">
        <f t="shared" ref="F69:F132" si="15">LN(B69)</f>
        <v>-0.35667494393873245</v>
      </c>
      <c r="G69">
        <f t="shared" ref="G69:G132" si="16">IF($C69="E",1,0)</f>
        <v>0</v>
      </c>
      <c r="H69">
        <f t="shared" ref="H69:H132" si="17">IF($C69="F",1,0)</f>
        <v>0</v>
      </c>
      <c r="I69">
        <f t="shared" ref="I69:I132" si="18">IF($C69="G",1,0)</f>
        <v>1</v>
      </c>
      <c r="J69">
        <f t="shared" ref="J69:J132" si="19">IF($C69="H",1,0)</f>
        <v>0</v>
      </c>
      <c r="K69">
        <f t="shared" ref="K69:K132" si="20">IF($C69="I",1,0)</f>
        <v>0</v>
      </c>
      <c r="L69">
        <f t="shared" ref="L69:L132" si="21">$F69*G69</f>
        <v>0</v>
      </c>
      <c r="M69">
        <f t="shared" ref="M69:M132" si="22">$F69*H69</f>
        <v>0</v>
      </c>
      <c r="N69">
        <f t="shared" ref="N69:N132" si="23">$F69*I69</f>
        <v>-0.35667494393873245</v>
      </c>
      <c r="O69">
        <f t="shared" ref="O69:O132" si="24">$F69*J69</f>
        <v>0</v>
      </c>
      <c r="P69">
        <f t="shared" ref="P69:P132" si="25">$F69*K69</f>
        <v>0</v>
      </c>
    </row>
    <row r="70" spans="1:16">
      <c r="A70">
        <v>5122</v>
      </c>
      <c r="B70" s="7">
        <v>0.7</v>
      </c>
      <c r="C70" t="s">
        <v>48</v>
      </c>
      <c r="E70">
        <f t="shared" si="14"/>
        <v>8.5413002667594711</v>
      </c>
      <c r="F70" s="7">
        <f t="shared" si="15"/>
        <v>-0.35667494393873245</v>
      </c>
      <c r="G70">
        <f t="shared" si="16"/>
        <v>0</v>
      </c>
      <c r="H70">
        <f t="shared" si="17"/>
        <v>0</v>
      </c>
      <c r="I70">
        <f t="shared" si="18"/>
        <v>0</v>
      </c>
      <c r="J70">
        <f t="shared" si="19"/>
        <v>1</v>
      </c>
      <c r="K70">
        <f t="shared" si="20"/>
        <v>0</v>
      </c>
      <c r="L70">
        <f t="shared" si="21"/>
        <v>0</v>
      </c>
      <c r="M70">
        <f t="shared" si="22"/>
        <v>0</v>
      </c>
      <c r="N70">
        <f t="shared" si="23"/>
        <v>0</v>
      </c>
      <c r="O70">
        <f t="shared" si="24"/>
        <v>-0.35667494393873245</v>
      </c>
      <c r="P70">
        <f t="shared" si="25"/>
        <v>0</v>
      </c>
    </row>
    <row r="71" spans="1:16">
      <c r="A71">
        <v>3861</v>
      </c>
      <c r="B71" s="7">
        <v>0.7</v>
      </c>
      <c r="C71" t="s">
        <v>49</v>
      </c>
      <c r="E71">
        <f t="shared" si="14"/>
        <v>8.2586814962642361</v>
      </c>
      <c r="F71" s="7">
        <f t="shared" si="15"/>
        <v>-0.35667494393873245</v>
      </c>
      <c r="G71">
        <f t="shared" si="16"/>
        <v>0</v>
      </c>
      <c r="H71">
        <f t="shared" si="17"/>
        <v>0</v>
      </c>
      <c r="I71">
        <f t="shared" si="18"/>
        <v>0</v>
      </c>
      <c r="J71">
        <f t="shared" si="19"/>
        <v>0</v>
      </c>
      <c r="K71">
        <f t="shared" si="20"/>
        <v>1</v>
      </c>
      <c r="L71">
        <f t="shared" si="21"/>
        <v>0</v>
      </c>
      <c r="M71">
        <f t="shared" si="22"/>
        <v>0</v>
      </c>
      <c r="N71">
        <f t="shared" si="23"/>
        <v>0</v>
      </c>
      <c r="O71">
        <f t="shared" si="24"/>
        <v>0</v>
      </c>
      <c r="P71">
        <f t="shared" si="25"/>
        <v>-0.35667494393873245</v>
      </c>
    </row>
    <row r="72" spans="1:16">
      <c r="A72">
        <v>5881</v>
      </c>
      <c r="B72" s="7">
        <v>0.71</v>
      </c>
      <c r="C72" t="s">
        <v>3</v>
      </c>
      <c r="E72">
        <f t="shared" si="14"/>
        <v>8.6794820944599564</v>
      </c>
      <c r="F72" s="7">
        <f t="shared" si="15"/>
        <v>-0.34249030894677601</v>
      </c>
      <c r="G72">
        <f t="shared" si="16"/>
        <v>0</v>
      </c>
      <c r="H72">
        <f t="shared" si="17"/>
        <v>1</v>
      </c>
      <c r="I72">
        <f t="shared" si="18"/>
        <v>0</v>
      </c>
      <c r="J72">
        <f t="shared" si="19"/>
        <v>0</v>
      </c>
      <c r="K72">
        <f t="shared" si="20"/>
        <v>0</v>
      </c>
      <c r="L72">
        <f t="shared" si="21"/>
        <v>0</v>
      </c>
      <c r="M72">
        <f t="shared" si="22"/>
        <v>-0.34249030894677601</v>
      </c>
      <c r="N72">
        <f t="shared" si="23"/>
        <v>0</v>
      </c>
      <c r="O72">
        <f t="shared" si="24"/>
        <v>0</v>
      </c>
      <c r="P72">
        <f t="shared" si="25"/>
        <v>0</v>
      </c>
    </row>
    <row r="73" spans="1:16">
      <c r="A73">
        <v>5586</v>
      </c>
      <c r="B73" s="7">
        <v>0.71</v>
      </c>
      <c r="C73" t="s">
        <v>3</v>
      </c>
      <c r="E73">
        <f t="shared" si="14"/>
        <v>8.6280187465051217</v>
      </c>
      <c r="F73" s="7">
        <f t="shared" si="15"/>
        <v>-0.34249030894677601</v>
      </c>
      <c r="G73">
        <f t="shared" si="16"/>
        <v>0</v>
      </c>
      <c r="H73">
        <f t="shared" si="17"/>
        <v>1</v>
      </c>
      <c r="I73">
        <f t="shared" si="18"/>
        <v>0</v>
      </c>
      <c r="J73">
        <f t="shared" si="19"/>
        <v>0</v>
      </c>
      <c r="K73">
        <f t="shared" si="20"/>
        <v>0</v>
      </c>
      <c r="L73">
        <f t="shared" si="21"/>
        <v>0</v>
      </c>
      <c r="M73">
        <f t="shared" si="22"/>
        <v>-0.34249030894677601</v>
      </c>
      <c r="N73">
        <f t="shared" si="23"/>
        <v>0</v>
      </c>
      <c r="O73">
        <f t="shared" si="24"/>
        <v>0</v>
      </c>
      <c r="P73">
        <f t="shared" si="25"/>
        <v>0</v>
      </c>
    </row>
    <row r="74" spans="1:16">
      <c r="A74">
        <v>5193</v>
      </c>
      <c r="B74" s="7">
        <v>0.71</v>
      </c>
      <c r="C74" t="s">
        <v>3</v>
      </c>
      <c r="E74">
        <f t="shared" si="14"/>
        <v>8.5550668438443189</v>
      </c>
      <c r="F74" s="7">
        <f t="shared" si="15"/>
        <v>-0.34249030894677601</v>
      </c>
      <c r="G74">
        <f t="shared" si="16"/>
        <v>0</v>
      </c>
      <c r="H74">
        <f t="shared" si="17"/>
        <v>1</v>
      </c>
      <c r="I74">
        <f t="shared" si="18"/>
        <v>0</v>
      </c>
      <c r="J74">
        <f t="shared" si="19"/>
        <v>0</v>
      </c>
      <c r="K74">
        <f t="shared" si="20"/>
        <v>0</v>
      </c>
      <c r="L74">
        <f t="shared" si="21"/>
        <v>0</v>
      </c>
      <c r="M74">
        <f t="shared" si="22"/>
        <v>-0.34249030894677601</v>
      </c>
      <c r="N74">
        <f t="shared" si="23"/>
        <v>0</v>
      </c>
      <c r="O74">
        <f t="shared" si="24"/>
        <v>0</v>
      </c>
      <c r="P74">
        <f t="shared" si="25"/>
        <v>0</v>
      </c>
    </row>
    <row r="75" spans="1:16">
      <c r="A75">
        <v>5193</v>
      </c>
      <c r="B75" s="7">
        <v>0.71</v>
      </c>
      <c r="C75" t="s">
        <v>48</v>
      </c>
      <c r="E75">
        <f t="shared" si="14"/>
        <v>8.5550668438443189</v>
      </c>
      <c r="F75" s="7">
        <f t="shared" si="15"/>
        <v>-0.34249030894677601</v>
      </c>
      <c r="G75">
        <f t="shared" si="16"/>
        <v>0</v>
      </c>
      <c r="H75">
        <f t="shared" si="17"/>
        <v>0</v>
      </c>
      <c r="I75">
        <f t="shared" si="18"/>
        <v>0</v>
      </c>
      <c r="J75">
        <f t="shared" si="19"/>
        <v>1</v>
      </c>
      <c r="K75">
        <f t="shared" si="20"/>
        <v>0</v>
      </c>
      <c r="L75">
        <f t="shared" si="21"/>
        <v>0</v>
      </c>
      <c r="M75">
        <f t="shared" si="22"/>
        <v>0</v>
      </c>
      <c r="N75">
        <f t="shared" si="23"/>
        <v>0</v>
      </c>
      <c r="O75">
        <f t="shared" si="24"/>
        <v>-0.34249030894677601</v>
      </c>
      <c r="P75">
        <f t="shared" si="25"/>
        <v>0</v>
      </c>
    </row>
    <row r="76" spans="1:16">
      <c r="A76">
        <v>5263</v>
      </c>
      <c r="B76" s="7">
        <v>0.72</v>
      </c>
      <c r="C76" t="s">
        <v>3</v>
      </c>
      <c r="E76">
        <f t="shared" si="14"/>
        <v>8.5684564853537797</v>
      </c>
      <c r="F76" s="7">
        <f t="shared" si="15"/>
        <v>-0.3285040669720361</v>
      </c>
      <c r="G76">
        <f t="shared" si="16"/>
        <v>0</v>
      </c>
      <c r="H76">
        <f t="shared" si="17"/>
        <v>1</v>
      </c>
      <c r="I76">
        <f t="shared" si="18"/>
        <v>0</v>
      </c>
      <c r="J76">
        <f t="shared" si="19"/>
        <v>0</v>
      </c>
      <c r="K76">
        <f t="shared" si="20"/>
        <v>0</v>
      </c>
      <c r="L76">
        <f t="shared" si="21"/>
        <v>0</v>
      </c>
      <c r="M76">
        <f t="shared" si="22"/>
        <v>-0.3285040669720361</v>
      </c>
      <c r="N76">
        <f t="shared" si="23"/>
        <v>0</v>
      </c>
      <c r="O76">
        <f t="shared" si="24"/>
        <v>0</v>
      </c>
      <c r="P76">
        <f t="shared" si="25"/>
        <v>0</v>
      </c>
    </row>
    <row r="77" spans="1:16">
      <c r="A77">
        <v>5441</v>
      </c>
      <c r="B77" s="7">
        <v>0.8</v>
      </c>
      <c r="C77" t="s">
        <v>49</v>
      </c>
      <c r="E77">
        <f t="shared" si="14"/>
        <v>8.6017181464859256</v>
      </c>
      <c r="F77" s="7">
        <f t="shared" si="15"/>
        <v>-0.22314355131420971</v>
      </c>
      <c r="G77">
        <f t="shared" si="16"/>
        <v>0</v>
      </c>
      <c r="H77">
        <f t="shared" si="17"/>
        <v>0</v>
      </c>
      <c r="I77">
        <f t="shared" si="18"/>
        <v>0</v>
      </c>
      <c r="J77">
        <f t="shared" si="19"/>
        <v>0</v>
      </c>
      <c r="K77">
        <f t="shared" si="20"/>
        <v>1</v>
      </c>
      <c r="L77">
        <f t="shared" si="21"/>
        <v>0</v>
      </c>
      <c r="M77">
        <f t="shared" si="22"/>
        <v>0</v>
      </c>
      <c r="N77">
        <f t="shared" si="23"/>
        <v>0</v>
      </c>
      <c r="O77">
        <f t="shared" si="24"/>
        <v>0</v>
      </c>
      <c r="P77">
        <f t="shared" si="25"/>
        <v>-0.22314355131420971</v>
      </c>
    </row>
    <row r="78" spans="1:16">
      <c r="A78">
        <v>4948</v>
      </c>
      <c r="B78" s="7">
        <v>0.82</v>
      </c>
      <c r="C78" t="s">
        <v>49</v>
      </c>
      <c r="E78">
        <f t="shared" si="14"/>
        <v>8.5067387335123783</v>
      </c>
      <c r="F78" s="7">
        <f t="shared" si="15"/>
        <v>-0.19845093872383832</v>
      </c>
      <c r="G78">
        <f t="shared" si="16"/>
        <v>0</v>
      </c>
      <c r="H78">
        <f t="shared" si="17"/>
        <v>0</v>
      </c>
      <c r="I78">
        <f t="shared" si="18"/>
        <v>0</v>
      </c>
      <c r="J78">
        <f t="shared" si="19"/>
        <v>0</v>
      </c>
      <c r="K78">
        <f t="shared" si="20"/>
        <v>1</v>
      </c>
      <c r="L78">
        <f t="shared" si="21"/>
        <v>0</v>
      </c>
      <c r="M78">
        <f t="shared" si="22"/>
        <v>0</v>
      </c>
      <c r="N78">
        <f t="shared" si="23"/>
        <v>0</v>
      </c>
      <c r="O78">
        <f t="shared" si="24"/>
        <v>0</v>
      </c>
      <c r="P78">
        <f t="shared" si="25"/>
        <v>-0.19845093872383832</v>
      </c>
    </row>
    <row r="79" spans="1:16">
      <c r="A79">
        <v>5705</v>
      </c>
      <c r="B79" s="7">
        <v>0.84</v>
      </c>
      <c r="C79" t="s">
        <v>48</v>
      </c>
      <c r="E79">
        <f t="shared" si="14"/>
        <v>8.6490982622961763</v>
      </c>
      <c r="F79" s="7">
        <f t="shared" si="15"/>
        <v>-0.1743533871447778</v>
      </c>
      <c r="G79">
        <f t="shared" si="16"/>
        <v>0</v>
      </c>
      <c r="H79">
        <f t="shared" si="17"/>
        <v>0</v>
      </c>
      <c r="I79">
        <f t="shared" si="18"/>
        <v>0</v>
      </c>
      <c r="J79">
        <f t="shared" si="19"/>
        <v>1</v>
      </c>
      <c r="K79">
        <f t="shared" si="20"/>
        <v>0</v>
      </c>
      <c r="L79">
        <f t="shared" si="21"/>
        <v>0</v>
      </c>
      <c r="M79">
        <f t="shared" si="22"/>
        <v>0</v>
      </c>
      <c r="N79">
        <f t="shared" si="23"/>
        <v>0</v>
      </c>
      <c r="O79">
        <f t="shared" si="24"/>
        <v>-0.1743533871447778</v>
      </c>
      <c r="P79">
        <f t="shared" si="25"/>
        <v>0</v>
      </c>
    </row>
    <row r="80" spans="1:16">
      <c r="A80">
        <v>6805</v>
      </c>
      <c r="B80" s="7">
        <v>0.85</v>
      </c>
      <c r="C80" t="s">
        <v>3</v>
      </c>
      <c r="E80">
        <f t="shared" si="14"/>
        <v>8.8254129150855665</v>
      </c>
      <c r="F80" s="7">
        <f t="shared" si="15"/>
        <v>-0.16251892949777494</v>
      </c>
      <c r="G80">
        <f t="shared" si="16"/>
        <v>0</v>
      </c>
      <c r="H80">
        <f t="shared" si="17"/>
        <v>1</v>
      </c>
      <c r="I80">
        <f t="shared" si="18"/>
        <v>0</v>
      </c>
      <c r="J80">
        <f t="shared" si="19"/>
        <v>0</v>
      </c>
      <c r="K80">
        <f t="shared" si="20"/>
        <v>0</v>
      </c>
      <c r="L80">
        <f t="shared" si="21"/>
        <v>0</v>
      </c>
      <c r="M80">
        <f t="shared" si="22"/>
        <v>-0.16251892949777494</v>
      </c>
      <c r="N80">
        <f t="shared" si="23"/>
        <v>0</v>
      </c>
      <c r="O80">
        <f t="shared" si="24"/>
        <v>0</v>
      </c>
      <c r="P80">
        <f t="shared" si="25"/>
        <v>0</v>
      </c>
    </row>
    <row r="81" spans="1:16">
      <c r="A81">
        <v>6882</v>
      </c>
      <c r="B81" s="7">
        <v>0.86</v>
      </c>
      <c r="C81" t="s">
        <v>48</v>
      </c>
      <c r="E81">
        <f t="shared" si="14"/>
        <v>8.8366645863574256</v>
      </c>
      <c r="F81" s="7">
        <f t="shared" si="15"/>
        <v>-0.15082288973458366</v>
      </c>
      <c r="G81">
        <f t="shared" si="16"/>
        <v>0</v>
      </c>
      <c r="H81">
        <f t="shared" si="17"/>
        <v>0</v>
      </c>
      <c r="I81">
        <f t="shared" si="18"/>
        <v>0</v>
      </c>
      <c r="J81">
        <f t="shared" si="19"/>
        <v>1</v>
      </c>
      <c r="K81">
        <f t="shared" si="20"/>
        <v>0</v>
      </c>
      <c r="L81">
        <f t="shared" si="21"/>
        <v>0</v>
      </c>
      <c r="M81">
        <f t="shared" si="22"/>
        <v>0</v>
      </c>
      <c r="N81">
        <f t="shared" si="23"/>
        <v>0</v>
      </c>
      <c r="O81">
        <f t="shared" si="24"/>
        <v>-0.15082288973458366</v>
      </c>
      <c r="P81">
        <f t="shared" si="25"/>
        <v>0</v>
      </c>
    </row>
    <row r="82" spans="1:16">
      <c r="A82">
        <v>6709</v>
      </c>
      <c r="B82" s="7">
        <v>0.89</v>
      </c>
      <c r="C82" t="s">
        <v>48</v>
      </c>
      <c r="E82">
        <f t="shared" si="14"/>
        <v>8.8112051875628872</v>
      </c>
      <c r="F82" s="7">
        <f t="shared" si="15"/>
        <v>-0.11653381625595151</v>
      </c>
      <c r="G82">
        <f t="shared" si="16"/>
        <v>0</v>
      </c>
      <c r="H82">
        <f t="shared" si="17"/>
        <v>0</v>
      </c>
      <c r="I82">
        <f t="shared" si="18"/>
        <v>0</v>
      </c>
      <c r="J82">
        <f t="shared" si="19"/>
        <v>1</v>
      </c>
      <c r="K82">
        <f t="shared" si="20"/>
        <v>0</v>
      </c>
      <c r="L82">
        <f t="shared" si="21"/>
        <v>0</v>
      </c>
      <c r="M82">
        <f t="shared" si="22"/>
        <v>0</v>
      </c>
      <c r="N82">
        <f t="shared" si="23"/>
        <v>0</v>
      </c>
      <c r="O82">
        <f t="shared" si="24"/>
        <v>-0.11653381625595151</v>
      </c>
      <c r="P82">
        <f t="shared" si="25"/>
        <v>0</v>
      </c>
    </row>
    <row r="83" spans="1:16">
      <c r="A83">
        <v>6682</v>
      </c>
      <c r="B83" s="7">
        <v>0.9</v>
      </c>
      <c r="C83" t="s">
        <v>49</v>
      </c>
      <c r="E83">
        <f t="shared" si="14"/>
        <v>8.8071726229167027</v>
      </c>
      <c r="F83" s="7">
        <f t="shared" si="15"/>
        <v>-0.10536051565782628</v>
      </c>
      <c r="G83">
        <f t="shared" si="16"/>
        <v>0</v>
      </c>
      <c r="H83">
        <f t="shared" si="17"/>
        <v>0</v>
      </c>
      <c r="I83">
        <f t="shared" si="18"/>
        <v>0</v>
      </c>
      <c r="J83">
        <f t="shared" si="19"/>
        <v>0</v>
      </c>
      <c r="K83">
        <f t="shared" si="20"/>
        <v>1</v>
      </c>
      <c r="L83">
        <f t="shared" si="21"/>
        <v>0</v>
      </c>
      <c r="M83">
        <f t="shared" si="22"/>
        <v>0</v>
      </c>
      <c r="N83">
        <f t="shared" si="23"/>
        <v>0</v>
      </c>
      <c r="O83">
        <f t="shared" si="24"/>
        <v>0</v>
      </c>
      <c r="P83">
        <f t="shared" si="25"/>
        <v>-0.10536051565782628</v>
      </c>
    </row>
    <row r="84" spans="1:16">
      <c r="A84">
        <v>3501</v>
      </c>
      <c r="B84" s="7">
        <v>0.5</v>
      </c>
      <c r="C84" t="s">
        <v>46</v>
      </c>
      <c r="E84">
        <f t="shared" si="14"/>
        <v>8.160803920954665</v>
      </c>
      <c r="F84" s="7">
        <f t="shared" si="15"/>
        <v>-0.69314718055994529</v>
      </c>
      <c r="G84">
        <f t="shared" si="16"/>
        <v>1</v>
      </c>
      <c r="H84">
        <f t="shared" si="17"/>
        <v>0</v>
      </c>
      <c r="I84">
        <f t="shared" si="18"/>
        <v>0</v>
      </c>
      <c r="J84">
        <f t="shared" si="19"/>
        <v>0</v>
      </c>
      <c r="K84">
        <f t="shared" si="20"/>
        <v>0</v>
      </c>
      <c r="L84">
        <f t="shared" si="21"/>
        <v>-0.69314718055994529</v>
      </c>
      <c r="M84">
        <f t="shared" si="22"/>
        <v>0</v>
      </c>
      <c r="N84">
        <f t="shared" si="23"/>
        <v>0</v>
      </c>
      <c r="O84">
        <f t="shared" si="24"/>
        <v>0</v>
      </c>
      <c r="P84">
        <f t="shared" si="25"/>
        <v>0</v>
      </c>
    </row>
    <row r="85" spans="1:16">
      <c r="A85">
        <v>3432</v>
      </c>
      <c r="B85" s="7">
        <v>0.5</v>
      </c>
      <c r="C85" t="s">
        <v>47</v>
      </c>
      <c r="E85">
        <f t="shared" si="14"/>
        <v>8.1408984606078523</v>
      </c>
      <c r="F85" s="7">
        <f t="shared" si="15"/>
        <v>-0.69314718055994529</v>
      </c>
      <c r="G85">
        <f t="shared" si="16"/>
        <v>0</v>
      </c>
      <c r="H85">
        <f t="shared" si="17"/>
        <v>0</v>
      </c>
      <c r="I85">
        <f t="shared" si="18"/>
        <v>1</v>
      </c>
      <c r="J85">
        <f t="shared" si="19"/>
        <v>0</v>
      </c>
      <c r="K85">
        <f t="shared" si="20"/>
        <v>0</v>
      </c>
      <c r="L85">
        <f t="shared" si="21"/>
        <v>0</v>
      </c>
      <c r="M85">
        <f t="shared" si="22"/>
        <v>0</v>
      </c>
      <c r="N85">
        <f t="shared" si="23"/>
        <v>-0.69314718055994529</v>
      </c>
      <c r="O85">
        <f t="shared" si="24"/>
        <v>0</v>
      </c>
      <c r="P85">
        <f t="shared" si="25"/>
        <v>0</v>
      </c>
    </row>
    <row r="86" spans="1:16">
      <c r="A86">
        <v>3851</v>
      </c>
      <c r="B86" s="7">
        <v>0.51</v>
      </c>
      <c r="C86" t="s">
        <v>3</v>
      </c>
      <c r="E86">
        <f t="shared" si="14"/>
        <v>8.2560881338149095</v>
      </c>
      <c r="F86" s="7">
        <f t="shared" si="15"/>
        <v>-0.67334455326376563</v>
      </c>
      <c r="G86">
        <f t="shared" si="16"/>
        <v>0</v>
      </c>
      <c r="H86">
        <f t="shared" si="17"/>
        <v>1</v>
      </c>
      <c r="I86">
        <f t="shared" si="18"/>
        <v>0</v>
      </c>
      <c r="J86">
        <f t="shared" si="19"/>
        <v>0</v>
      </c>
      <c r="K86">
        <f t="shared" si="20"/>
        <v>0</v>
      </c>
      <c r="L86">
        <f t="shared" si="21"/>
        <v>0</v>
      </c>
      <c r="M86">
        <f t="shared" si="22"/>
        <v>-0.67334455326376563</v>
      </c>
      <c r="N86">
        <f t="shared" si="23"/>
        <v>0</v>
      </c>
      <c r="O86">
        <f t="shared" si="24"/>
        <v>0</v>
      </c>
      <c r="P86">
        <f t="shared" si="25"/>
        <v>0</v>
      </c>
    </row>
    <row r="87" spans="1:16">
      <c r="A87">
        <v>3605</v>
      </c>
      <c r="B87" s="7">
        <v>0.55000000000000004</v>
      </c>
      <c r="C87" t="s">
        <v>48</v>
      </c>
      <c r="E87">
        <f t="shared" si="14"/>
        <v>8.1900770497190489</v>
      </c>
      <c r="F87" s="7">
        <f t="shared" si="15"/>
        <v>-0.59783700075562041</v>
      </c>
      <c r="G87">
        <f t="shared" si="16"/>
        <v>0</v>
      </c>
      <c r="H87">
        <f t="shared" si="17"/>
        <v>0</v>
      </c>
      <c r="I87">
        <f t="shared" si="18"/>
        <v>0</v>
      </c>
      <c r="J87">
        <f t="shared" si="19"/>
        <v>1</v>
      </c>
      <c r="K87">
        <f t="shared" si="20"/>
        <v>0</v>
      </c>
      <c r="L87">
        <f t="shared" si="21"/>
        <v>0</v>
      </c>
      <c r="M87">
        <f t="shared" si="22"/>
        <v>0</v>
      </c>
      <c r="N87">
        <f t="shared" si="23"/>
        <v>0</v>
      </c>
      <c r="O87">
        <f t="shared" si="24"/>
        <v>-0.59783700075562041</v>
      </c>
      <c r="P87">
        <f t="shared" si="25"/>
        <v>0</v>
      </c>
    </row>
    <row r="88" spans="1:16">
      <c r="A88">
        <v>3900</v>
      </c>
      <c r="B88" s="7">
        <v>0.56000000000000005</v>
      </c>
      <c r="C88" t="s">
        <v>46</v>
      </c>
      <c r="E88">
        <f t="shared" si="14"/>
        <v>8.2687318321177372</v>
      </c>
      <c r="F88" s="7">
        <f t="shared" si="15"/>
        <v>-0.57981849525294205</v>
      </c>
      <c r="G88">
        <f t="shared" si="16"/>
        <v>1</v>
      </c>
      <c r="H88">
        <f t="shared" si="17"/>
        <v>0</v>
      </c>
      <c r="I88">
        <f t="shared" si="18"/>
        <v>0</v>
      </c>
      <c r="J88">
        <f t="shared" si="19"/>
        <v>0</v>
      </c>
      <c r="K88">
        <f t="shared" si="20"/>
        <v>0</v>
      </c>
      <c r="L88">
        <f t="shared" si="21"/>
        <v>-0.57981849525294205</v>
      </c>
      <c r="M88">
        <f t="shared" si="22"/>
        <v>0</v>
      </c>
      <c r="N88">
        <f t="shared" si="23"/>
        <v>0</v>
      </c>
      <c r="O88">
        <f t="shared" si="24"/>
        <v>0</v>
      </c>
      <c r="P88">
        <f t="shared" si="25"/>
        <v>0</v>
      </c>
    </row>
    <row r="89" spans="1:16">
      <c r="A89">
        <v>3415</v>
      </c>
      <c r="B89" s="7">
        <v>0.56999999999999995</v>
      </c>
      <c r="C89" t="s">
        <v>48</v>
      </c>
      <c r="E89">
        <f t="shared" si="14"/>
        <v>8.1359327720048906</v>
      </c>
      <c r="F89" s="7">
        <f t="shared" si="15"/>
        <v>-0.56211891815354131</v>
      </c>
      <c r="G89">
        <f t="shared" si="16"/>
        <v>0</v>
      </c>
      <c r="H89">
        <f t="shared" si="17"/>
        <v>0</v>
      </c>
      <c r="I89">
        <f t="shared" si="18"/>
        <v>0</v>
      </c>
      <c r="J89">
        <f t="shared" si="19"/>
        <v>1</v>
      </c>
      <c r="K89">
        <f t="shared" si="20"/>
        <v>0</v>
      </c>
      <c r="L89">
        <f t="shared" si="21"/>
        <v>0</v>
      </c>
      <c r="M89">
        <f t="shared" si="22"/>
        <v>0</v>
      </c>
      <c r="N89">
        <f t="shared" si="23"/>
        <v>0</v>
      </c>
      <c r="O89">
        <f t="shared" si="24"/>
        <v>-0.56211891815354131</v>
      </c>
      <c r="P89">
        <f t="shared" si="25"/>
        <v>0</v>
      </c>
    </row>
    <row r="90" spans="1:16">
      <c r="A90">
        <v>4291</v>
      </c>
      <c r="B90" s="7">
        <v>0.6</v>
      </c>
      <c r="C90" t="s">
        <v>48</v>
      </c>
      <c r="E90">
        <f t="shared" si="14"/>
        <v>8.3642750849915242</v>
      </c>
      <c r="F90" s="7">
        <f t="shared" si="15"/>
        <v>-0.51082562376599072</v>
      </c>
      <c r="G90">
        <f t="shared" si="16"/>
        <v>0</v>
      </c>
      <c r="H90">
        <f t="shared" si="17"/>
        <v>0</v>
      </c>
      <c r="I90">
        <f t="shared" si="18"/>
        <v>0</v>
      </c>
      <c r="J90">
        <f t="shared" si="19"/>
        <v>1</v>
      </c>
      <c r="K90">
        <f t="shared" si="20"/>
        <v>0</v>
      </c>
      <c r="L90">
        <f t="shared" si="21"/>
        <v>0</v>
      </c>
      <c r="M90">
        <f t="shared" si="22"/>
        <v>0</v>
      </c>
      <c r="N90">
        <f t="shared" si="23"/>
        <v>0</v>
      </c>
      <c r="O90">
        <f t="shared" si="24"/>
        <v>-0.51082562376599072</v>
      </c>
      <c r="P90">
        <f t="shared" si="25"/>
        <v>0</v>
      </c>
    </row>
    <row r="91" spans="1:16">
      <c r="A91">
        <v>6512</v>
      </c>
      <c r="B91" s="7">
        <v>0.63</v>
      </c>
      <c r="C91" t="s">
        <v>46</v>
      </c>
      <c r="E91">
        <f t="shared" si="14"/>
        <v>8.7814019076823762</v>
      </c>
      <c r="F91" s="7">
        <f t="shared" si="15"/>
        <v>-0.46203545959655867</v>
      </c>
      <c r="G91">
        <f t="shared" si="16"/>
        <v>1</v>
      </c>
      <c r="H91">
        <f t="shared" si="17"/>
        <v>0</v>
      </c>
      <c r="I91">
        <f t="shared" si="18"/>
        <v>0</v>
      </c>
      <c r="J91">
        <f t="shared" si="19"/>
        <v>0</v>
      </c>
      <c r="K91">
        <f t="shared" si="20"/>
        <v>0</v>
      </c>
      <c r="L91">
        <f t="shared" si="21"/>
        <v>-0.46203545959655867</v>
      </c>
      <c r="M91">
        <f t="shared" si="22"/>
        <v>0</v>
      </c>
      <c r="N91">
        <f t="shared" si="23"/>
        <v>0</v>
      </c>
      <c r="O91">
        <f t="shared" si="24"/>
        <v>0</v>
      </c>
      <c r="P91">
        <f t="shared" si="25"/>
        <v>0</v>
      </c>
    </row>
    <row r="92" spans="1:16">
      <c r="A92">
        <v>5800</v>
      </c>
      <c r="B92" s="7">
        <v>0.7</v>
      </c>
      <c r="C92" t="s">
        <v>46</v>
      </c>
      <c r="E92">
        <f t="shared" si="14"/>
        <v>8.66561319653451</v>
      </c>
      <c r="F92" s="7">
        <f t="shared" si="15"/>
        <v>-0.35667494393873245</v>
      </c>
      <c r="G92">
        <f t="shared" si="16"/>
        <v>1</v>
      </c>
      <c r="H92">
        <f t="shared" si="17"/>
        <v>0</v>
      </c>
      <c r="I92">
        <f t="shared" si="18"/>
        <v>0</v>
      </c>
      <c r="J92">
        <f t="shared" si="19"/>
        <v>0</v>
      </c>
      <c r="K92">
        <f t="shared" si="20"/>
        <v>0</v>
      </c>
      <c r="L92">
        <f t="shared" si="21"/>
        <v>-0.35667494393873245</v>
      </c>
      <c r="M92">
        <f t="shared" si="22"/>
        <v>0</v>
      </c>
      <c r="N92">
        <f t="shared" si="23"/>
        <v>0</v>
      </c>
      <c r="O92">
        <f t="shared" si="24"/>
        <v>0</v>
      </c>
      <c r="P92">
        <f t="shared" si="25"/>
        <v>0</v>
      </c>
    </row>
    <row r="93" spans="1:16">
      <c r="A93">
        <v>6285</v>
      </c>
      <c r="B93" s="7">
        <v>0.7</v>
      </c>
      <c r="C93" t="s">
        <v>3</v>
      </c>
      <c r="E93">
        <f t="shared" si="14"/>
        <v>8.745921121024347</v>
      </c>
      <c r="F93" s="7">
        <f t="shared" si="15"/>
        <v>-0.35667494393873245</v>
      </c>
      <c r="G93">
        <f t="shared" si="16"/>
        <v>0</v>
      </c>
      <c r="H93">
        <f t="shared" si="17"/>
        <v>1</v>
      </c>
      <c r="I93">
        <f t="shared" si="18"/>
        <v>0</v>
      </c>
      <c r="J93">
        <f t="shared" si="19"/>
        <v>0</v>
      </c>
      <c r="K93">
        <f t="shared" si="20"/>
        <v>0</v>
      </c>
      <c r="L93">
        <f t="shared" si="21"/>
        <v>0</v>
      </c>
      <c r="M93">
        <f t="shared" si="22"/>
        <v>-0.35667494393873245</v>
      </c>
      <c r="N93">
        <f t="shared" si="23"/>
        <v>0</v>
      </c>
      <c r="O93">
        <f t="shared" si="24"/>
        <v>0</v>
      </c>
      <c r="P93">
        <f t="shared" si="25"/>
        <v>0</v>
      </c>
    </row>
    <row r="94" spans="1:16">
      <c r="A94">
        <v>5122</v>
      </c>
      <c r="B94" s="7">
        <v>0.7</v>
      </c>
      <c r="C94" t="s">
        <v>3</v>
      </c>
      <c r="E94">
        <f t="shared" si="14"/>
        <v>8.5413002667594711</v>
      </c>
      <c r="F94" s="7">
        <f t="shared" si="15"/>
        <v>-0.35667494393873245</v>
      </c>
      <c r="G94">
        <f t="shared" si="16"/>
        <v>0</v>
      </c>
      <c r="H94">
        <f t="shared" si="17"/>
        <v>1</v>
      </c>
      <c r="I94">
        <f t="shared" si="18"/>
        <v>0</v>
      </c>
      <c r="J94">
        <f t="shared" si="19"/>
        <v>0</v>
      </c>
      <c r="K94">
        <f t="shared" si="20"/>
        <v>0</v>
      </c>
      <c r="L94">
        <f t="shared" si="21"/>
        <v>0</v>
      </c>
      <c r="M94">
        <f t="shared" si="22"/>
        <v>-0.35667494393873245</v>
      </c>
      <c r="N94">
        <f t="shared" si="23"/>
        <v>0</v>
      </c>
      <c r="O94">
        <f t="shared" si="24"/>
        <v>0</v>
      </c>
      <c r="P94">
        <f t="shared" si="25"/>
        <v>0</v>
      </c>
    </row>
    <row r="95" spans="1:16">
      <c r="A95">
        <v>5122</v>
      </c>
      <c r="B95" s="7">
        <v>0.7</v>
      </c>
      <c r="C95" t="s">
        <v>3</v>
      </c>
      <c r="E95">
        <f t="shared" si="14"/>
        <v>8.5413002667594711</v>
      </c>
      <c r="F95" s="7">
        <f t="shared" si="15"/>
        <v>-0.35667494393873245</v>
      </c>
      <c r="G95">
        <f t="shared" si="16"/>
        <v>0</v>
      </c>
      <c r="H95">
        <f t="shared" si="17"/>
        <v>1</v>
      </c>
      <c r="I95">
        <f t="shared" si="18"/>
        <v>0</v>
      </c>
      <c r="J95">
        <f t="shared" si="19"/>
        <v>0</v>
      </c>
      <c r="K95">
        <f t="shared" si="20"/>
        <v>0</v>
      </c>
      <c r="L95">
        <f t="shared" si="21"/>
        <v>0</v>
      </c>
      <c r="M95">
        <f t="shared" si="22"/>
        <v>-0.35667494393873245</v>
      </c>
      <c r="N95">
        <f t="shared" si="23"/>
        <v>0</v>
      </c>
      <c r="O95">
        <f t="shared" si="24"/>
        <v>0</v>
      </c>
      <c r="P95">
        <f t="shared" si="25"/>
        <v>0</v>
      </c>
    </row>
    <row r="96" spans="1:16">
      <c r="A96">
        <v>5122</v>
      </c>
      <c r="B96" s="7">
        <v>0.7</v>
      </c>
      <c r="C96" t="s">
        <v>47</v>
      </c>
      <c r="E96">
        <f t="shared" si="14"/>
        <v>8.5413002667594711</v>
      </c>
      <c r="F96" s="7">
        <f t="shared" si="15"/>
        <v>-0.35667494393873245</v>
      </c>
      <c r="G96">
        <f t="shared" si="16"/>
        <v>0</v>
      </c>
      <c r="H96">
        <f t="shared" si="17"/>
        <v>0</v>
      </c>
      <c r="I96">
        <f t="shared" si="18"/>
        <v>1</v>
      </c>
      <c r="J96">
        <f t="shared" si="19"/>
        <v>0</v>
      </c>
      <c r="K96">
        <f t="shared" si="20"/>
        <v>0</v>
      </c>
      <c r="L96">
        <f t="shared" si="21"/>
        <v>0</v>
      </c>
      <c r="M96">
        <f t="shared" si="22"/>
        <v>0</v>
      </c>
      <c r="N96">
        <f t="shared" si="23"/>
        <v>-0.35667494393873245</v>
      </c>
      <c r="O96">
        <f t="shared" si="24"/>
        <v>0</v>
      </c>
      <c r="P96">
        <f t="shared" si="25"/>
        <v>0</v>
      </c>
    </row>
    <row r="97" spans="1:16">
      <c r="A97">
        <v>5122</v>
      </c>
      <c r="B97" s="7">
        <v>0.7</v>
      </c>
      <c r="C97" t="s">
        <v>48</v>
      </c>
      <c r="E97">
        <f t="shared" si="14"/>
        <v>8.5413002667594711</v>
      </c>
      <c r="F97" s="7">
        <f t="shared" si="15"/>
        <v>-0.35667494393873245</v>
      </c>
      <c r="G97">
        <f t="shared" si="16"/>
        <v>0</v>
      </c>
      <c r="H97">
        <f t="shared" si="17"/>
        <v>0</v>
      </c>
      <c r="I97">
        <f t="shared" si="18"/>
        <v>0</v>
      </c>
      <c r="J97">
        <f t="shared" si="19"/>
        <v>1</v>
      </c>
      <c r="K97">
        <f t="shared" si="20"/>
        <v>0</v>
      </c>
      <c r="L97">
        <f t="shared" si="21"/>
        <v>0</v>
      </c>
      <c r="M97">
        <f t="shared" si="22"/>
        <v>0</v>
      </c>
      <c r="N97">
        <f t="shared" si="23"/>
        <v>0</v>
      </c>
      <c r="O97">
        <f t="shared" si="24"/>
        <v>-0.35667494393873245</v>
      </c>
      <c r="P97">
        <f t="shared" si="25"/>
        <v>0</v>
      </c>
    </row>
    <row r="98" spans="1:16">
      <c r="A98">
        <v>6372</v>
      </c>
      <c r="B98" s="7">
        <v>0.71</v>
      </c>
      <c r="C98" t="s">
        <v>45</v>
      </c>
      <c r="E98">
        <f t="shared" si="14"/>
        <v>8.7596686710299387</v>
      </c>
      <c r="F98" s="7">
        <f t="shared" si="15"/>
        <v>-0.34249030894677601</v>
      </c>
      <c r="G98">
        <f t="shared" si="16"/>
        <v>0</v>
      </c>
      <c r="H98">
        <f t="shared" si="17"/>
        <v>0</v>
      </c>
      <c r="I98">
        <f t="shared" si="18"/>
        <v>0</v>
      </c>
      <c r="J98">
        <f t="shared" si="19"/>
        <v>0</v>
      </c>
      <c r="K98">
        <f t="shared" si="20"/>
        <v>0</v>
      </c>
      <c r="L98">
        <f t="shared" si="21"/>
        <v>0</v>
      </c>
      <c r="M98">
        <f t="shared" si="22"/>
        <v>0</v>
      </c>
      <c r="N98">
        <f t="shared" si="23"/>
        <v>0</v>
      </c>
      <c r="O98">
        <f t="shared" si="24"/>
        <v>0</v>
      </c>
      <c r="P98">
        <f t="shared" si="25"/>
        <v>0</v>
      </c>
    </row>
    <row r="99" spans="1:16">
      <c r="A99">
        <v>5881</v>
      </c>
      <c r="B99" s="7">
        <v>0.71</v>
      </c>
      <c r="C99" t="s">
        <v>46</v>
      </c>
      <c r="E99">
        <f t="shared" si="14"/>
        <v>8.6794820944599564</v>
      </c>
      <c r="F99" s="7">
        <f t="shared" si="15"/>
        <v>-0.34249030894677601</v>
      </c>
      <c r="G99">
        <f t="shared" si="16"/>
        <v>1</v>
      </c>
      <c r="H99">
        <f t="shared" si="17"/>
        <v>0</v>
      </c>
      <c r="I99">
        <f t="shared" si="18"/>
        <v>0</v>
      </c>
      <c r="J99">
        <f t="shared" si="19"/>
        <v>0</v>
      </c>
      <c r="K99">
        <f t="shared" si="20"/>
        <v>0</v>
      </c>
      <c r="L99">
        <f t="shared" si="21"/>
        <v>-0.34249030894677601</v>
      </c>
      <c r="M99">
        <f t="shared" si="22"/>
        <v>0</v>
      </c>
      <c r="N99">
        <f t="shared" si="23"/>
        <v>0</v>
      </c>
      <c r="O99">
        <f t="shared" si="24"/>
        <v>0</v>
      </c>
      <c r="P99">
        <f t="shared" si="25"/>
        <v>0</v>
      </c>
    </row>
    <row r="100" spans="1:16">
      <c r="A100">
        <v>5193</v>
      </c>
      <c r="B100" s="7">
        <v>0.71</v>
      </c>
      <c r="C100" t="s">
        <v>48</v>
      </c>
      <c r="E100">
        <f t="shared" si="14"/>
        <v>8.5550668438443189</v>
      </c>
      <c r="F100" s="7">
        <f t="shared" si="15"/>
        <v>-0.34249030894677601</v>
      </c>
      <c r="G100">
        <f t="shared" si="16"/>
        <v>0</v>
      </c>
      <c r="H100">
        <f t="shared" si="17"/>
        <v>0</v>
      </c>
      <c r="I100">
        <f t="shared" si="18"/>
        <v>0</v>
      </c>
      <c r="J100">
        <f t="shared" si="19"/>
        <v>1</v>
      </c>
      <c r="K100">
        <f t="shared" si="20"/>
        <v>0</v>
      </c>
      <c r="L100">
        <f t="shared" si="21"/>
        <v>0</v>
      </c>
      <c r="M100">
        <f t="shared" si="22"/>
        <v>0</v>
      </c>
      <c r="N100">
        <f t="shared" si="23"/>
        <v>0</v>
      </c>
      <c r="O100">
        <f t="shared" si="24"/>
        <v>-0.34249030894677601</v>
      </c>
      <c r="P100">
        <f t="shared" si="25"/>
        <v>0</v>
      </c>
    </row>
    <row r="101" spans="1:16">
      <c r="A101">
        <v>5961</v>
      </c>
      <c r="B101" s="7">
        <v>0.72</v>
      </c>
      <c r="C101" t="s">
        <v>46</v>
      </c>
      <c r="E101">
        <f t="shared" si="14"/>
        <v>8.6929935312199262</v>
      </c>
      <c r="F101" s="7">
        <f t="shared" si="15"/>
        <v>-0.3285040669720361</v>
      </c>
      <c r="G101">
        <f t="shared" si="16"/>
        <v>1</v>
      </c>
      <c r="H101">
        <f t="shared" si="17"/>
        <v>0</v>
      </c>
      <c r="I101">
        <f t="shared" si="18"/>
        <v>0</v>
      </c>
      <c r="J101">
        <f t="shared" si="19"/>
        <v>0</v>
      </c>
      <c r="K101">
        <f t="shared" si="20"/>
        <v>0</v>
      </c>
      <c r="L101">
        <f t="shared" si="21"/>
        <v>-0.3285040669720361</v>
      </c>
      <c r="M101">
        <f t="shared" si="22"/>
        <v>0</v>
      </c>
      <c r="N101">
        <f t="shared" si="23"/>
        <v>0</v>
      </c>
      <c r="O101">
        <f t="shared" si="24"/>
        <v>0</v>
      </c>
      <c r="P101">
        <f t="shared" si="25"/>
        <v>0</v>
      </c>
    </row>
    <row r="102" spans="1:16">
      <c r="A102">
        <v>5662</v>
      </c>
      <c r="B102" s="7">
        <v>0.72</v>
      </c>
      <c r="C102" t="s">
        <v>48</v>
      </c>
      <c r="E102">
        <f t="shared" si="14"/>
        <v>8.6415324656718457</v>
      </c>
      <c r="F102" s="7">
        <f t="shared" si="15"/>
        <v>-0.3285040669720361</v>
      </c>
      <c r="G102">
        <f t="shared" si="16"/>
        <v>0</v>
      </c>
      <c r="H102">
        <f t="shared" si="17"/>
        <v>0</v>
      </c>
      <c r="I102">
        <f t="shared" si="18"/>
        <v>0</v>
      </c>
      <c r="J102">
        <f t="shared" si="19"/>
        <v>1</v>
      </c>
      <c r="K102">
        <f t="shared" si="20"/>
        <v>0</v>
      </c>
      <c r="L102">
        <f t="shared" si="21"/>
        <v>0</v>
      </c>
      <c r="M102">
        <f t="shared" si="22"/>
        <v>0</v>
      </c>
      <c r="N102">
        <f t="shared" si="23"/>
        <v>0</v>
      </c>
      <c r="O102">
        <f t="shared" si="24"/>
        <v>-0.3285040669720361</v>
      </c>
      <c r="P102">
        <f t="shared" si="25"/>
        <v>0</v>
      </c>
    </row>
    <row r="103" spans="1:16">
      <c r="A103">
        <v>5738</v>
      </c>
      <c r="B103" s="7">
        <v>0.73</v>
      </c>
      <c r="C103" t="s">
        <v>46</v>
      </c>
      <c r="E103">
        <f t="shared" si="14"/>
        <v>8.6548659965413108</v>
      </c>
      <c r="F103" s="7">
        <f t="shared" si="15"/>
        <v>-0.31471074483970024</v>
      </c>
      <c r="G103">
        <f t="shared" si="16"/>
        <v>1</v>
      </c>
      <c r="H103">
        <f t="shared" si="17"/>
        <v>0</v>
      </c>
      <c r="I103">
        <f t="shared" si="18"/>
        <v>0</v>
      </c>
      <c r="J103">
        <f t="shared" si="19"/>
        <v>0</v>
      </c>
      <c r="K103">
        <f t="shared" si="20"/>
        <v>0</v>
      </c>
      <c r="L103">
        <f t="shared" si="21"/>
        <v>-0.31471074483970024</v>
      </c>
      <c r="M103">
        <f t="shared" si="22"/>
        <v>0</v>
      </c>
      <c r="N103">
        <f t="shared" si="23"/>
        <v>0</v>
      </c>
      <c r="O103">
        <f t="shared" si="24"/>
        <v>0</v>
      </c>
      <c r="P103">
        <f t="shared" si="25"/>
        <v>0</v>
      </c>
    </row>
    <row r="104" spans="1:16">
      <c r="A104">
        <v>5030</v>
      </c>
      <c r="B104" s="7">
        <v>0.73</v>
      </c>
      <c r="C104" t="s">
        <v>48</v>
      </c>
      <c r="E104">
        <f t="shared" si="14"/>
        <v>8.5231752630937851</v>
      </c>
      <c r="F104" s="7">
        <f t="shared" si="15"/>
        <v>-0.31471074483970024</v>
      </c>
      <c r="G104">
        <f t="shared" si="16"/>
        <v>0</v>
      </c>
      <c r="H104">
        <f t="shared" si="17"/>
        <v>0</v>
      </c>
      <c r="I104">
        <f t="shared" si="18"/>
        <v>0</v>
      </c>
      <c r="J104">
        <f t="shared" si="19"/>
        <v>1</v>
      </c>
      <c r="K104">
        <f t="shared" si="20"/>
        <v>0</v>
      </c>
      <c r="L104">
        <f t="shared" si="21"/>
        <v>0</v>
      </c>
      <c r="M104">
        <f t="shared" si="22"/>
        <v>0</v>
      </c>
      <c r="N104">
        <f t="shared" si="23"/>
        <v>0</v>
      </c>
      <c r="O104">
        <f t="shared" si="24"/>
        <v>-0.31471074483970024</v>
      </c>
      <c r="P104">
        <f t="shared" si="25"/>
        <v>0</v>
      </c>
    </row>
    <row r="105" spans="1:16">
      <c r="A105">
        <v>5030</v>
      </c>
      <c r="B105" s="7">
        <v>0.73</v>
      </c>
      <c r="C105" t="s">
        <v>48</v>
      </c>
      <c r="E105">
        <f t="shared" si="14"/>
        <v>8.5231752630937851</v>
      </c>
      <c r="F105" s="7">
        <f t="shared" si="15"/>
        <v>-0.31471074483970024</v>
      </c>
      <c r="G105">
        <f t="shared" si="16"/>
        <v>0</v>
      </c>
      <c r="H105">
        <f t="shared" si="17"/>
        <v>0</v>
      </c>
      <c r="I105">
        <f t="shared" si="18"/>
        <v>0</v>
      </c>
      <c r="J105">
        <f t="shared" si="19"/>
        <v>1</v>
      </c>
      <c r="K105">
        <f t="shared" si="20"/>
        <v>0</v>
      </c>
      <c r="L105">
        <f t="shared" si="21"/>
        <v>0</v>
      </c>
      <c r="M105">
        <f t="shared" si="22"/>
        <v>0</v>
      </c>
      <c r="N105">
        <f t="shared" si="23"/>
        <v>0</v>
      </c>
      <c r="O105">
        <f t="shared" si="24"/>
        <v>-0.31471074483970024</v>
      </c>
      <c r="P105">
        <f t="shared" si="25"/>
        <v>0</v>
      </c>
    </row>
    <row r="106" spans="1:16">
      <c r="A106">
        <v>4727</v>
      </c>
      <c r="B106" s="7">
        <v>0.73</v>
      </c>
      <c r="C106" t="s">
        <v>49</v>
      </c>
      <c r="E106">
        <f t="shared" si="14"/>
        <v>8.461046030793236</v>
      </c>
      <c r="F106" s="7">
        <f t="shared" si="15"/>
        <v>-0.31471074483970024</v>
      </c>
      <c r="G106">
        <f t="shared" si="16"/>
        <v>0</v>
      </c>
      <c r="H106">
        <f t="shared" si="17"/>
        <v>0</v>
      </c>
      <c r="I106">
        <f t="shared" si="18"/>
        <v>0</v>
      </c>
      <c r="J106">
        <f t="shared" si="19"/>
        <v>0</v>
      </c>
      <c r="K106">
        <f t="shared" si="20"/>
        <v>1</v>
      </c>
      <c r="L106">
        <f t="shared" si="21"/>
        <v>0</v>
      </c>
      <c r="M106">
        <f t="shared" si="22"/>
        <v>0</v>
      </c>
      <c r="N106">
        <f t="shared" si="23"/>
        <v>0</v>
      </c>
      <c r="O106">
        <f t="shared" si="24"/>
        <v>0</v>
      </c>
      <c r="P106">
        <f t="shared" si="25"/>
        <v>-0.31471074483970024</v>
      </c>
    </row>
    <row r="107" spans="1:16">
      <c r="A107">
        <v>4221</v>
      </c>
      <c r="B107" s="7">
        <v>0.73</v>
      </c>
      <c r="C107" t="s">
        <v>49</v>
      </c>
      <c r="E107">
        <f t="shared" si="14"/>
        <v>8.3478273457824983</v>
      </c>
      <c r="F107" s="7">
        <f t="shared" si="15"/>
        <v>-0.31471074483970024</v>
      </c>
      <c r="G107">
        <f t="shared" si="16"/>
        <v>0</v>
      </c>
      <c r="H107">
        <f t="shared" si="17"/>
        <v>0</v>
      </c>
      <c r="I107">
        <f t="shared" si="18"/>
        <v>0</v>
      </c>
      <c r="J107">
        <f t="shared" si="19"/>
        <v>0</v>
      </c>
      <c r="K107">
        <f t="shared" si="20"/>
        <v>1</v>
      </c>
      <c r="L107">
        <f t="shared" si="21"/>
        <v>0</v>
      </c>
      <c r="M107">
        <f t="shared" si="22"/>
        <v>0</v>
      </c>
      <c r="N107">
        <f t="shared" si="23"/>
        <v>0</v>
      </c>
      <c r="O107">
        <f t="shared" si="24"/>
        <v>0</v>
      </c>
      <c r="P107">
        <f t="shared" si="25"/>
        <v>-0.31471074483970024</v>
      </c>
    </row>
    <row r="108" spans="1:16">
      <c r="A108">
        <v>5815</v>
      </c>
      <c r="B108" s="7">
        <v>0.74</v>
      </c>
      <c r="C108" t="s">
        <v>47</v>
      </c>
      <c r="E108">
        <f t="shared" si="14"/>
        <v>8.668196064952765</v>
      </c>
      <c r="F108" s="7">
        <f t="shared" si="15"/>
        <v>-0.30110509278392161</v>
      </c>
      <c r="G108">
        <f t="shared" si="16"/>
        <v>0</v>
      </c>
      <c r="H108">
        <f t="shared" si="17"/>
        <v>0</v>
      </c>
      <c r="I108">
        <f t="shared" si="18"/>
        <v>1</v>
      </c>
      <c r="J108">
        <f t="shared" si="19"/>
        <v>0</v>
      </c>
      <c r="K108">
        <f t="shared" si="20"/>
        <v>0</v>
      </c>
      <c r="L108">
        <f t="shared" si="21"/>
        <v>0</v>
      </c>
      <c r="M108">
        <f t="shared" si="22"/>
        <v>0</v>
      </c>
      <c r="N108">
        <f t="shared" si="23"/>
        <v>-0.30110509278392161</v>
      </c>
      <c r="O108">
        <f t="shared" si="24"/>
        <v>0</v>
      </c>
      <c r="P108">
        <f t="shared" si="25"/>
        <v>0</v>
      </c>
    </row>
    <row r="109" spans="1:16">
      <c r="A109">
        <v>4585</v>
      </c>
      <c r="B109" s="7">
        <v>0.74</v>
      </c>
      <c r="C109" t="s">
        <v>48</v>
      </c>
      <c r="E109">
        <f t="shared" si="14"/>
        <v>8.430545384690566</v>
      </c>
      <c r="F109" s="7">
        <f t="shared" si="15"/>
        <v>-0.30110509278392161</v>
      </c>
      <c r="G109">
        <f t="shared" si="16"/>
        <v>0</v>
      </c>
      <c r="H109">
        <f t="shared" si="17"/>
        <v>0</v>
      </c>
      <c r="I109">
        <f t="shared" si="18"/>
        <v>0</v>
      </c>
      <c r="J109">
        <f t="shared" si="19"/>
        <v>1</v>
      </c>
      <c r="K109">
        <f t="shared" si="20"/>
        <v>0</v>
      </c>
      <c r="L109">
        <f t="shared" si="21"/>
        <v>0</v>
      </c>
      <c r="M109">
        <f t="shared" si="22"/>
        <v>0</v>
      </c>
      <c r="N109">
        <f t="shared" si="23"/>
        <v>0</v>
      </c>
      <c r="O109">
        <f t="shared" si="24"/>
        <v>-0.30110509278392161</v>
      </c>
      <c r="P109">
        <f t="shared" si="25"/>
        <v>0</v>
      </c>
    </row>
    <row r="110" spans="1:16">
      <c r="A110">
        <v>7368</v>
      </c>
      <c r="B110" s="7">
        <v>0.75</v>
      </c>
      <c r="C110" t="s">
        <v>45</v>
      </c>
      <c r="E110">
        <f t="shared" si="14"/>
        <v>8.9049015779351421</v>
      </c>
      <c r="F110" s="7">
        <f t="shared" si="15"/>
        <v>-0.2876820724517809</v>
      </c>
      <c r="G110">
        <f t="shared" si="16"/>
        <v>0</v>
      </c>
      <c r="H110">
        <f t="shared" si="17"/>
        <v>0</v>
      </c>
      <c r="I110">
        <f t="shared" si="18"/>
        <v>0</v>
      </c>
      <c r="J110">
        <f t="shared" si="19"/>
        <v>0</v>
      </c>
      <c r="K110">
        <f t="shared" si="20"/>
        <v>0</v>
      </c>
      <c r="L110">
        <f t="shared" si="21"/>
        <v>0</v>
      </c>
      <c r="M110">
        <f t="shared" si="22"/>
        <v>0</v>
      </c>
      <c r="N110">
        <f t="shared" si="23"/>
        <v>0</v>
      </c>
      <c r="O110">
        <f t="shared" si="24"/>
        <v>0</v>
      </c>
      <c r="P110">
        <f t="shared" si="25"/>
        <v>0</v>
      </c>
    </row>
    <row r="111" spans="1:16">
      <c r="A111">
        <v>4667</v>
      </c>
      <c r="B111" s="7">
        <v>0.75</v>
      </c>
      <c r="C111" t="s">
        <v>49</v>
      </c>
      <c r="E111">
        <f t="shared" si="14"/>
        <v>8.4482717459498158</v>
      </c>
      <c r="F111" s="7">
        <f t="shared" si="15"/>
        <v>-0.2876820724517809</v>
      </c>
      <c r="G111">
        <f t="shared" si="16"/>
        <v>0</v>
      </c>
      <c r="H111">
        <f t="shared" si="17"/>
        <v>0</v>
      </c>
      <c r="I111">
        <f t="shared" si="18"/>
        <v>0</v>
      </c>
      <c r="J111">
        <f t="shared" si="19"/>
        <v>0</v>
      </c>
      <c r="K111">
        <f t="shared" si="20"/>
        <v>1</v>
      </c>
      <c r="L111">
        <f t="shared" si="21"/>
        <v>0</v>
      </c>
      <c r="M111">
        <f t="shared" si="22"/>
        <v>0</v>
      </c>
      <c r="N111">
        <f t="shared" si="23"/>
        <v>0</v>
      </c>
      <c r="O111">
        <f t="shared" si="24"/>
        <v>0</v>
      </c>
      <c r="P111">
        <f t="shared" si="25"/>
        <v>-0.2876820724517809</v>
      </c>
    </row>
    <row r="112" spans="1:16">
      <c r="A112">
        <v>4355</v>
      </c>
      <c r="B112" s="7">
        <v>0.75</v>
      </c>
      <c r="C112" t="s">
        <v>49</v>
      </c>
      <c r="E112">
        <f t="shared" si="14"/>
        <v>8.3790798892866025</v>
      </c>
      <c r="F112" s="7">
        <f t="shared" si="15"/>
        <v>-0.2876820724517809</v>
      </c>
      <c r="G112">
        <f t="shared" si="16"/>
        <v>0</v>
      </c>
      <c r="H112">
        <f t="shared" si="17"/>
        <v>0</v>
      </c>
      <c r="I112">
        <f t="shared" si="18"/>
        <v>0</v>
      </c>
      <c r="J112">
        <f t="shared" si="19"/>
        <v>0</v>
      </c>
      <c r="K112">
        <f t="shared" si="20"/>
        <v>1</v>
      </c>
      <c r="L112">
        <f t="shared" si="21"/>
        <v>0</v>
      </c>
      <c r="M112">
        <f t="shared" si="22"/>
        <v>0</v>
      </c>
      <c r="N112">
        <f t="shared" si="23"/>
        <v>0</v>
      </c>
      <c r="O112">
        <f t="shared" si="24"/>
        <v>0</v>
      </c>
      <c r="P112">
        <f t="shared" si="25"/>
        <v>-0.2876820724517809</v>
      </c>
    </row>
    <row r="113" spans="1:16">
      <c r="A113">
        <v>9885</v>
      </c>
      <c r="B113" s="7">
        <v>0.76</v>
      </c>
      <c r="C113" t="s">
        <v>45</v>
      </c>
      <c r="E113">
        <f t="shared" si="14"/>
        <v>9.1987737356047177</v>
      </c>
      <c r="F113" s="7">
        <f t="shared" si="15"/>
        <v>-0.2744368457017603</v>
      </c>
      <c r="G113">
        <f t="shared" si="16"/>
        <v>0</v>
      </c>
      <c r="H113">
        <f t="shared" si="17"/>
        <v>0</v>
      </c>
      <c r="I113">
        <f t="shared" si="18"/>
        <v>0</v>
      </c>
      <c r="J113">
        <f t="shared" si="19"/>
        <v>0</v>
      </c>
      <c r="K113">
        <f t="shared" si="20"/>
        <v>0</v>
      </c>
      <c r="L113">
        <f t="shared" si="21"/>
        <v>0</v>
      </c>
      <c r="M113">
        <f t="shared" si="22"/>
        <v>0</v>
      </c>
      <c r="N113">
        <f t="shared" si="23"/>
        <v>0</v>
      </c>
      <c r="O113">
        <f t="shared" si="24"/>
        <v>0</v>
      </c>
      <c r="P113">
        <f t="shared" si="25"/>
        <v>0</v>
      </c>
    </row>
    <row r="114" spans="1:16">
      <c r="A114">
        <v>6919</v>
      </c>
      <c r="B114" s="7">
        <v>0.77</v>
      </c>
      <c r="C114" t="s">
        <v>3</v>
      </c>
      <c r="E114">
        <f t="shared" si="14"/>
        <v>8.8420265294988116</v>
      </c>
      <c r="F114" s="7">
        <f t="shared" si="15"/>
        <v>-0.26136476413440751</v>
      </c>
      <c r="G114">
        <f t="shared" si="16"/>
        <v>0</v>
      </c>
      <c r="H114">
        <f t="shared" si="17"/>
        <v>1</v>
      </c>
      <c r="I114">
        <f t="shared" si="18"/>
        <v>0</v>
      </c>
      <c r="J114">
        <f t="shared" si="19"/>
        <v>0</v>
      </c>
      <c r="K114">
        <f t="shared" si="20"/>
        <v>0</v>
      </c>
      <c r="L114">
        <f t="shared" si="21"/>
        <v>0</v>
      </c>
      <c r="M114">
        <f t="shared" si="22"/>
        <v>-0.26136476413440751</v>
      </c>
      <c r="N114">
        <f t="shared" si="23"/>
        <v>0</v>
      </c>
      <c r="O114">
        <f t="shared" si="24"/>
        <v>0</v>
      </c>
      <c r="P114">
        <f t="shared" si="25"/>
        <v>0</v>
      </c>
    </row>
    <row r="115" spans="1:16">
      <c r="A115">
        <v>5386</v>
      </c>
      <c r="B115" s="7">
        <v>0.78</v>
      </c>
      <c r="C115" t="s">
        <v>48</v>
      </c>
      <c r="E115">
        <f t="shared" si="14"/>
        <v>8.591558273371545</v>
      </c>
      <c r="F115" s="7">
        <f t="shared" si="15"/>
        <v>-0.24846135929849961</v>
      </c>
      <c r="G115">
        <f t="shared" si="16"/>
        <v>0</v>
      </c>
      <c r="H115">
        <f t="shared" si="17"/>
        <v>0</v>
      </c>
      <c r="I115">
        <f t="shared" si="18"/>
        <v>0</v>
      </c>
      <c r="J115">
        <f t="shared" si="19"/>
        <v>1</v>
      </c>
      <c r="K115">
        <f t="shared" si="20"/>
        <v>0</v>
      </c>
      <c r="L115">
        <f t="shared" si="21"/>
        <v>0</v>
      </c>
      <c r="M115">
        <f t="shared" si="22"/>
        <v>0</v>
      </c>
      <c r="N115">
        <f t="shared" si="23"/>
        <v>0</v>
      </c>
      <c r="O115">
        <f t="shared" si="24"/>
        <v>-0.24846135929849961</v>
      </c>
      <c r="P115">
        <f t="shared" si="25"/>
        <v>0</v>
      </c>
    </row>
    <row r="116" spans="1:16">
      <c r="A116">
        <v>4832</v>
      </c>
      <c r="B116" s="7">
        <v>0.8</v>
      </c>
      <c r="C116" t="s">
        <v>49</v>
      </c>
      <c r="E116">
        <f t="shared" si="14"/>
        <v>8.4830157396146504</v>
      </c>
      <c r="F116" s="7">
        <f t="shared" si="15"/>
        <v>-0.22314355131420971</v>
      </c>
      <c r="G116">
        <f t="shared" si="16"/>
        <v>0</v>
      </c>
      <c r="H116">
        <f t="shared" si="17"/>
        <v>0</v>
      </c>
      <c r="I116">
        <f t="shared" si="18"/>
        <v>0</v>
      </c>
      <c r="J116">
        <f t="shared" si="19"/>
        <v>0</v>
      </c>
      <c r="K116">
        <f t="shared" si="20"/>
        <v>1</v>
      </c>
      <c r="L116">
        <f t="shared" si="21"/>
        <v>0</v>
      </c>
      <c r="M116">
        <f t="shared" si="22"/>
        <v>0</v>
      </c>
      <c r="N116">
        <f t="shared" si="23"/>
        <v>0</v>
      </c>
      <c r="O116">
        <f t="shared" si="24"/>
        <v>0</v>
      </c>
      <c r="P116">
        <f t="shared" si="25"/>
        <v>-0.22314355131420971</v>
      </c>
    </row>
    <row r="117" spans="1:16">
      <c r="A117">
        <v>7156</v>
      </c>
      <c r="B117" s="7">
        <v>0.83</v>
      </c>
      <c r="C117" t="s">
        <v>46</v>
      </c>
      <c r="E117">
        <f t="shared" si="14"/>
        <v>8.8757064446286105</v>
      </c>
      <c r="F117" s="7">
        <f t="shared" si="15"/>
        <v>-0.18632957819149348</v>
      </c>
      <c r="G117">
        <f t="shared" si="16"/>
        <v>1</v>
      </c>
      <c r="H117">
        <f t="shared" si="17"/>
        <v>0</v>
      </c>
      <c r="I117">
        <f t="shared" si="18"/>
        <v>0</v>
      </c>
      <c r="J117">
        <f t="shared" si="19"/>
        <v>0</v>
      </c>
      <c r="K117">
        <f t="shared" si="20"/>
        <v>0</v>
      </c>
      <c r="L117">
        <f t="shared" si="21"/>
        <v>-0.18632957819149348</v>
      </c>
      <c r="M117">
        <f t="shared" si="22"/>
        <v>0</v>
      </c>
      <c r="N117">
        <f t="shared" si="23"/>
        <v>0</v>
      </c>
      <c r="O117">
        <f t="shared" si="24"/>
        <v>0</v>
      </c>
      <c r="P117">
        <f t="shared" si="25"/>
        <v>0</v>
      </c>
    </row>
    <row r="118" spans="1:16">
      <c r="A118">
        <v>7680</v>
      </c>
      <c r="B118" s="7">
        <v>0.9</v>
      </c>
      <c r="C118" t="s">
        <v>3</v>
      </c>
      <c r="E118">
        <f t="shared" si="14"/>
        <v>8.9463748261417173</v>
      </c>
      <c r="F118" s="7">
        <f t="shared" si="15"/>
        <v>-0.10536051565782628</v>
      </c>
      <c r="G118">
        <f t="shared" si="16"/>
        <v>0</v>
      </c>
      <c r="H118">
        <f t="shared" si="17"/>
        <v>1</v>
      </c>
      <c r="I118">
        <f t="shared" si="18"/>
        <v>0</v>
      </c>
      <c r="J118">
        <f t="shared" si="19"/>
        <v>0</v>
      </c>
      <c r="K118">
        <f t="shared" si="20"/>
        <v>0</v>
      </c>
      <c r="L118">
        <f t="shared" si="21"/>
        <v>0</v>
      </c>
      <c r="M118">
        <f t="shared" si="22"/>
        <v>-0.10536051565782628</v>
      </c>
      <c r="N118">
        <f t="shared" si="23"/>
        <v>0</v>
      </c>
      <c r="O118">
        <f t="shared" si="24"/>
        <v>0</v>
      </c>
      <c r="P118">
        <f t="shared" si="25"/>
        <v>0</v>
      </c>
    </row>
    <row r="119" spans="1:16">
      <c r="A119">
        <v>15582</v>
      </c>
      <c r="B119" s="7">
        <v>1</v>
      </c>
      <c r="C119" t="s">
        <v>45</v>
      </c>
      <c r="E119">
        <f t="shared" si="14"/>
        <v>9.6538716808908038</v>
      </c>
      <c r="F119" s="7">
        <f t="shared" si="15"/>
        <v>0</v>
      </c>
      <c r="G119">
        <f t="shared" si="16"/>
        <v>0</v>
      </c>
      <c r="H119">
        <f t="shared" si="17"/>
        <v>0</v>
      </c>
      <c r="I119">
        <f t="shared" si="18"/>
        <v>0</v>
      </c>
      <c r="J119">
        <f t="shared" si="19"/>
        <v>0</v>
      </c>
      <c r="K119">
        <f t="shared" si="20"/>
        <v>0</v>
      </c>
      <c r="L119">
        <f t="shared" si="21"/>
        <v>0</v>
      </c>
      <c r="M119">
        <f t="shared" si="22"/>
        <v>0</v>
      </c>
      <c r="N119">
        <f t="shared" si="23"/>
        <v>0</v>
      </c>
      <c r="O119">
        <f t="shared" si="24"/>
        <v>0</v>
      </c>
      <c r="P119">
        <f t="shared" si="25"/>
        <v>0</v>
      </c>
    </row>
    <row r="120" spans="1:16">
      <c r="A120">
        <v>11419</v>
      </c>
      <c r="B120" s="7">
        <v>1</v>
      </c>
      <c r="C120" t="s">
        <v>45</v>
      </c>
      <c r="E120">
        <f t="shared" si="14"/>
        <v>9.3430339137016478</v>
      </c>
      <c r="F120" s="7">
        <f t="shared" si="15"/>
        <v>0</v>
      </c>
      <c r="G120">
        <f t="shared" si="16"/>
        <v>0</v>
      </c>
      <c r="H120">
        <f t="shared" si="17"/>
        <v>0</v>
      </c>
      <c r="I120">
        <f t="shared" si="18"/>
        <v>0</v>
      </c>
      <c r="J120">
        <f t="shared" si="19"/>
        <v>0</v>
      </c>
      <c r="K120">
        <f t="shared" si="20"/>
        <v>0</v>
      </c>
      <c r="L120">
        <f t="shared" si="21"/>
        <v>0</v>
      </c>
      <c r="M120">
        <f t="shared" si="22"/>
        <v>0</v>
      </c>
      <c r="N120">
        <f t="shared" si="23"/>
        <v>0</v>
      </c>
      <c r="O120">
        <f t="shared" si="24"/>
        <v>0</v>
      </c>
      <c r="P120">
        <f t="shared" si="25"/>
        <v>0</v>
      </c>
    </row>
    <row r="121" spans="1:16">
      <c r="A121">
        <v>10588</v>
      </c>
      <c r="B121" s="7">
        <v>1</v>
      </c>
      <c r="C121" t="s">
        <v>46</v>
      </c>
      <c r="E121">
        <f t="shared" si="14"/>
        <v>9.2674765633469924</v>
      </c>
      <c r="F121" s="7">
        <f t="shared" si="15"/>
        <v>0</v>
      </c>
      <c r="G121">
        <f t="shared" si="16"/>
        <v>1</v>
      </c>
      <c r="H121">
        <f t="shared" si="17"/>
        <v>0</v>
      </c>
      <c r="I121">
        <f t="shared" si="18"/>
        <v>0</v>
      </c>
      <c r="J121">
        <f t="shared" si="19"/>
        <v>0</v>
      </c>
      <c r="K121">
        <f t="shared" si="20"/>
        <v>0</v>
      </c>
      <c r="L121">
        <f t="shared" si="21"/>
        <v>0</v>
      </c>
      <c r="M121">
        <f t="shared" si="22"/>
        <v>0</v>
      </c>
      <c r="N121">
        <f t="shared" si="23"/>
        <v>0</v>
      </c>
      <c r="O121">
        <f t="shared" si="24"/>
        <v>0</v>
      </c>
      <c r="P121">
        <f t="shared" si="25"/>
        <v>0</v>
      </c>
    </row>
    <row r="122" spans="1:16">
      <c r="A122">
        <v>9757</v>
      </c>
      <c r="B122" s="7">
        <v>1</v>
      </c>
      <c r="C122" t="s">
        <v>46</v>
      </c>
      <c r="E122">
        <f t="shared" si="14"/>
        <v>9.1857402551079499</v>
      </c>
      <c r="F122" s="7">
        <f t="shared" si="15"/>
        <v>0</v>
      </c>
      <c r="G122">
        <f t="shared" si="16"/>
        <v>1</v>
      </c>
      <c r="H122">
        <f t="shared" si="17"/>
        <v>0</v>
      </c>
      <c r="I122">
        <f t="shared" si="18"/>
        <v>0</v>
      </c>
      <c r="J122">
        <f t="shared" si="19"/>
        <v>0</v>
      </c>
      <c r="K122">
        <f t="shared" si="20"/>
        <v>0</v>
      </c>
      <c r="L122">
        <f t="shared" si="21"/>
        <v>0</v>
      </c>
      <c r="M122">
        <f t="shared" si="22"/>
        <v>0</v>
      </c>
      <c r="N122">
        <f t="shared" si="23"/>
        <v>0</v>
      </c>
      <c r="O122">
        <f t="shared" si="24"/>
        <v>0</v>
      </c>
      <c r="P122">
        <f t="shared" si="25"/>
        <v>0</v>
      </c>
    </row>
    <row r="123" spans="1:16">
      <c r="A123">
        <v>13913</v>
      </c>
      <c r="B123" s="7">
        <v>1</v>
      </c>
      <c r="C123" t="s">
        <v>3</v>
      </c>
      <c r="E123">
        <f t="shared" si="14"/>
        <v>9.5405789338418767</v>
      </c>
      <c r="F123" s="7">
        <f t="shared" si="15"/>
        <v>0</v>
      </c>
      <c r="G123">
        <f t="shared" si="16"/>
        <v>0</v>
      </c>
      <c r="H123">
        <f t="shared" si="17"/>
        <v>1</v>
      </c>
      <c r="I123">
        <f t="shared" si="18"/>
        <v>0</v>
      </c>
      <c r="J123">
        <f t="shared" si="19"/>
        <v>0</v>
      </c>
      <c r="K123">
        <f t="shared" si="20"/>
        <v>0</v>
      </c>
      <c r="L123">
        <f t="shared" si="21"/>
        <v>0</v>
      </c>
      <c r="M123">
        <f t="shared" si="22"/>
        <v>0</v>
      </c>
      <c r="N123">
        <f t="shared" si="23"/>
        <v>0</v>
      </c>
      <c r="O123">
        <f t="shared" si="24"/>
        <v>0</v>
      </c>
      <c r="P123">
        <f t="shared" si="25"/>
        <v>0</v>
      </c>
    </row>
    <row r="124" spans="1:16">
      <c r="A124">
        <v>10588</v>
      </c>
      <c r="B124" s="7">
        <v>1</v>
      </c>
      <c r="C124" t="s">
        <v>3</v>
      </c>
      <c r="E124">
        <f t="shared" si="14"/>
        <v>9.2674765633469924</v>
      </c>
      <c r="F124" s="7">
        <f t="shared" si="15"/>
        <v>0</v>
      </c>
      <c r="G124">
        <f t="shared" si="16"/>
        <v>0</v>
      </c>
      <c r="H124">
        <f t="shared" si="17"/>
        <v>1</v>
      </c>
      <c r="I124">
        <f t="shared" si="18"/>
        <v>0</v>
      </c>
      <c r="J124">
        <f t="shared" si="19"/>
        <v>0</v>
      </c>
      <c r="K124">
        <f t="shared" si="20"/>
        <v>0</v>
      </c>
      <c r="L124">
        <f t="shared" si="21"/>
        <v>0</v>
      </c>
      <c r="M124">
        <f t="shared" si="22"/>
        <v>0</v>
      </c>
      <c r="N124">
        <f t="shared" si="23"/>
        <v>0</v>
      </c>
      <c r="O124">
        <f t="shared" si="24"/>
        <v>0</v>
      </c>
      <c r="P124">
        <f t="shared" si="25"/>
        <v>0</v>
      </c>
    </row>
    <row r="125" spans="1:16">
      <c r="A125">
        <v>10713</v>
      </c>
      <c r="B125" s="7">
        <v>1</v>
      </c>
      <c r="C125" t="s">
        <v>3</v>
      </c>
      <c r="E125">
        <f t="shared" si="14"/>
        <v>9.2792132362625583</v>
      </c>
      <c r="F125" s="7">
        <f t="shared" si="15"/>
        <v>0</v>
      </c>
      <c r="G125">
        <f t="shared" si="16"/>
        <v>0</v>
      </c>
      <c r="H125">
        <f t="shared" si="17"/>
        <v>1</v>
      </c>
      <c r="I125">
        <f t="shared" si="18"/>
        <v>0</v>
      </c>
      <c r="J125">
        <f t="shared" si="19"/>
        <v>0</v>
      </c>
      <c r="K125">
        <f t="shared" si="20"/>
        <v>0</v>
      </c>
      <c r="L125">
        <f t="shared" si="21"/>
        <v>0</v>
      </c>
      <c r="M125">
        <f t="shared" si="22"/>
        <v>0</v>
      </c>
      <c r="N125">
        <f t="shared" si="23"/>
        <v>0</v>
      </c>
      <c r="O125">
        <f t="shared" si="24"/>
        <v>0</v>
      </c>
      <c r="P125">
        <f t="shared" si="25"/>
        <v>0</v>
      </c>
    </row>
    <row r="126" spans="1:16">
      <c r="A126">
        <v>9480</v>
      </c>
      <c r="B126" s="7">
        <v>1</v>
      </c>
      <c r="C126" t="s">
        <v>3</v>
      </c>
      <c r="E126">
        <f t="shared" si="14"/>
        <v>9.1569395952490673</v>
      </c>
      <c r="F126" s="7">
        <f t="shared" si="15"/>
        <v>0</v>
      </c>
      <c r="G126">
        <f t="shared" si="16"/>
        <v>0</v>
      </c>
      <c r="H126">
        <f t="shared" si="17"/>
        <v>1</v>
      </c>
      <c r="I126">
        <f t="shared" si="18"/>
        <v>0</v>
      </c>
      <c r="J126">
        <f t="shared" si="19"/>
        <v>0</v>
      </c>
      <c r="K126">
        <f t="shared" si="20"/>
        <v>0</v>
      </c>
      <c r="L126">
        <f t="shared" si="21"/>
        <v>0</v>
      </c>
      <c r="M126">
        <f t="shared" si="22"/>
        <v>0</v>
      </c>
      <c r="N126">
        <f t="shared" si="23"/>
        <v>0</v>
      </c>
      <c r="O126">
        <f t="shared" si="24"/>
        <v>0</v>
      </c>
      <c r="P126">
        <f t="shared" si="25"/>
        <v>0</v>
      </c>
    </row>
    <row r="127" spans="1:16">
      <c r="A127">
        <v>9896</v>
      </c>
      <c r="B127" s="7">
        <v>1</v>
      </c>
      <c r="C127" t="s">
        <v>47</v>
      </c>
      <c r="E127">
        <f t="shared" si="14"/>
        <v>9.1998859140723237</v>
      </c>
      <c r="F127" s="7">
        <f t="shared" si="15"/>
        <v>0</v>
      </c>
      <c r="G127">
        <f t="shared" si="16"/>
        <v>0</v>
      </c>
      <c r="H127">
        <f t="shared" si="17"/>
        <v>0</v>
      </c>
      <c r="I127">
        <f t="shared" si="18"/>
        <v>1</v>
      </c>
      <c r="J127">
        <f t="shared" si="19"/>
        <v>0</v>
      </c>
      <c r="K127">
        <f t="shared" si="20"/>
        <v>0</v>
      </c>
      <c r="L127">
        <f t="shared" si="21"/>
        <v>0</v>
      </c>
      <c r="M127">
        <f t="shared" si="22"/>
        <v>0</v>
      </c>
      <c r="N127">
        <f t="shared" si="23"/>
        <v>0</v>
      </c>
      <c r="O127">
        <f t="shared" si="24"/>
        <v>0</v>
      </c>
      <c r="P127">
        <f t="shared" si="25"/>
        <v>0</v>
      </c>
    </row>
    <row r="128" spans="1:16">
      <c r="A128">
        <v>9619</v>
      </c>
      <c r="B128" s="7">
        <v>1</v>
      </c>
      <c r="C128" t="s">
        <v>47</v>
      </c>
      <c r="E128">
        <f t="shared" si="14"/>
        <v>9.1714955881526148</v>
      </c>
      <c r="F128" s="7">
        <f t="shared" si="15"/>
        <v>0</v>
      </c>
      <c r="G128">
        <f t="shared" si="16"/>
        <v>0</v>
      </c>
      <c r="H128">
        <f t="shared" si="17"/>
        <v>0</v>
      </c>
      <c r="I128">
        <f t="shared" si="18"/>
        <v>1</v>
      </c>
      <c r="J128">
        <f t="shared" si="19"/>
        <v>0</v>
      </c>
      <c r="K128">
        <f t="shared" si="20"/>
        <v>0</v>
      </c>
      <c r="L128">
        <f t="shared" si="21"/>
        <v>0</v>
      </c>
      <c r="M128">
        <f t="shared" si="22"/>
        <v>0</v>
      </c>
      <c r="N128">
        <f t="shared" si="23"/>
        <v>0</v>
      </c>
      <c r="O128">
        <f t="shared" si="24"/>
        <v>0</v>
      </c>
      <c r="P128">
        <f t="shared" si="25"/>
        <v>0</v>
      </c>
    </row>
    <row r="129" spans="1:16">
      <c r="A129">
        <v>9169</v>
      </c>
      <c r="B129" s="7">
        <v>1</v>
      </c>
      <c r="C129" t="s">
        <v>47</v>
      </c>
      <c r="E129">
        <f t="shared" si="14"/>
        <v>9.1235835080499008</v>
      </c>
      <c r="F129" s="7">
        <f t="shared" si="15"/>
        <v>0</v>
      </c>
      <c r="G129">
        <f t="shared" si="16"/>
        <v>0</v>
      </c>
      <c r="H129">
        <f t="shared" si="17"/>
        <v>0</v>
      </c>
      <c r="I129">
        <f t="shared" si="18"/>
        <v>1</v>
      </c>
      <c r="J129">
        <f t="shared" si="19"/>
        <v>0</v>
      </c>
      <c r="K129">
        <f t="shared" si="20"/>
        <v>0</v>
      </c>
      <c r="L129">
        <f t="shared" si="21"/>
        <v>0</v>
      </c>
      <c r="M129">
        <f t="shared" si="22"/>
        <v>0</v>
      </c>
      <c r="N129">
        <f t="shared" si="23"/>
        <v>0</v>
      </c>
      <c r="O129">
        <f t="shared" si="24"/>
        <v>0</v>
      </c>
      <c r="P129">
        <f t="shared" si="25"/>
        <v>0</v>
      </c>
    </row>
    <row r="130" spans="1:16">
      <c r="A130">
        <v>9203</v>
      </c>
      <c r="B130" s="7">
        <v>1</v>
      </c>
      <c r="C130" t="s">
        <v>47</v>
      </c>
      <c r="E130">
        <f t="shared" si="14"/>
        <v>9.1272847968388575</v>
      </c>
      <c r="F130" s="7">
        <f t="shared" si="15"/>
        <v>0</v>
      </c>
      <c r="G130">
        <f t="shared" si="16"/>
        <v>0</v>
      </c>
      <c r="H130">
        <f t="shared" si="17"/>
        <v>0</v>
      </c>
      <c r="I130">
        <f t="shared" si="18"/>
        <v>1</v>
      </c>
      <c r="J130">
        <f t="shared" si="19"/>
        <v>0</v>
      </c>
      <c r="K130">
        <f t="shared" si="20"/>
        <v>0</v>
      </c>
      <c r="L130">
        <f t="shared" si="21"/>
        <v>0</v>
      </c>
      <c r="M130">
        <f t="shared" si="22"/>
        <v>0</v>
      </c>
      <c r="N130">
        <f t="shared" si="23"/>
        <v>0</v>
      </c>
      <c r="O130">
        <f t="shared" si="24"/>
        <v>0</v>
      </c>
      <c r="P130">
        <f t="shared" si="25"/>
        <v>0</v>
      </c>
    </row>
    <row r="131" spans="1:16">
      <c r="A131">
        <v>8788</v>
      </c>
      <c r="B131" s="7">
        <v>1</v>
      </c>
      <c r="C131" t="s">
        <v>48</v>
      </c>
      <c r="E131">
        <f t="shared" si="14"/>
        <v>9.0811424335045015</v>
      </c>
      <c r="F131" s="7">
        <f t="shared" si="15"/>
        <v>0</v>
      </c>
      <c r="G131">
        <f t="shared" si="16"/>
        <v>0</v>
      </c>
      <c r="H131">
        <f t="shared" si="17"/>
        <v>0</v>
      </c>
      <c r="I131">
        <f t="shared" si="18"/>
        <v>0</v>
      </c>
      <c r="J131">
        <f t="shared" si="19"/>
        <v>1</v>
      </c>
      <c r="K131">
        <f t="shared" si="20"/>
        <v>0</v>
      </c>
      <c r="L131">
        <f t="shared" si="21"/>
        <v>0</v>
      </c>
      <c r="M131">
        <f t="shared" si="22"/>
        <v>0</v>
      </c>
      <c r="N131">
        <f t="shared" si="23"/>
        <v>0</v>
      </c>
      <c r="O131">
        <f t="shared" si="24"/>
        <v>0</v>
      </c>
      <c r="P131">
        <f t="shared" si="25"/>
        <v>0</v>
      </c>
    </row>
    <row r="132" spans="1:16">
      <c r="A132">
        <v>8095</v>
      </c>
      <c r="B132" s="7">
        <v>1</v>
      </c>
      <c r="C132" t="s">
        <v>49</v>
      </c>
      <c r="E132">
        <f t="shared" si="14"/>
        <v>8.999001866111735</v>
      </c>
      <c r="F132" s="7">
        <f t="shared" si="15"/>
        <v>0</v>
      </c>
      <c r="G132">
        <f t="shared" si="16"/>
        <v>0</v>
      </c>
      <c r="H132">
        <f t="shared" si="17"/>
        <v>0</v>
      </c>
      <c r="I132">
        <f t="shared" si="18"/>
        <v>0</v>
      </c>
      <c r="J132">
        <f t="shared" si="19"/>
        <v>0</v>
      </c>
      <c r="K132">
        <f t="shared" si="20"/>
        <v>1</v>
      </c>
      <c r="L132">
        <f t="shared" si="21"/>
        <v>0</v>
      </c>
      <c r="M132">
        <f t="shared" si="22"/>
        <v>0</v>
      </c>
      <c r="N132">
        <f t="shared" si="23"/>
        <v>0</v>
      </c>
      <c r="O132">
        <f t="shared" si="24"/>
        <v>0</v>
      </c>
      <c r="P132">
        <f t="shared" si="25"/>
        <v>0</v>
      </c>
    </row>
    <row r="133" spans="1:16">
      <c r="A133">
        <v>7818</v>
      </c>
      <c r="B133" s="7">
        <v>1</v>
      </c>
      <c r="C133" t="s">
        <v>49</v>
      </c>
      <c r="E133">
        <f t="shared" ref="E133:E196" si="26">LN(A133)</f>
        <v>8.9641840463528997</v>
      </c>
      <c r="F133" s="7">
        <f t="shared" ref="F133:F196" si="27">LN(B133)</f>
        <v>0</v>
      </c>
      <c r="G133">
        <f t="shared" ref="G133:G196" si="28">IF($C133="E",1,0)</f>
        <v>0</v>
      </c>
      <c r="H133">
        <f t="shared" ref="H133:H196" si="29">IF($C133="F",1,0)</f>
        <v>0</v>
      </c>
      <c r="I133">
        <f t="shared" ref="I133:I196" si="30">IF($C133="G",1,0)</f>
        <v>0</v>
      </c>
      <c r="J133">
        <f t="shared" ref="J133:J196" si="31">IF($C133="H",1,0)</f>
        <v>0</v>
      </c>
      <c r="K133">
        <f t="shared" ref="K133:K196" si="32">IF($C133="I",1,0)</f>
        <v>1</v>
      </c>
      <c r="L133">
        <f t="shared" ref="L133:L196" si="33">$F133*G133</f>
        <v>0</v>
      </c>
      <c r="M133">
        <f t="shared" ref="M133:M196" si="34">$F133*H133</f>
        <v>0</v>
      </c>
      <c r="N133">
        <f t="shared" ref="N133:N196" si="35">$F133*I133</f>
        <v>0</v>
      </c>
      <c r="O133">
        <f t="shared" ref="O133:O196" si="36">$F133*J133</f>
        <v>0</v>
      </c>
      <c r="P133">
        <f t="shared" ref="P133:P196" si="37">$F133*K133</f>
        <v>0</v>
      </c>
    </row>
    <row r="134" spans="1:16">
      <c r="A134">
        <v>16008</v>
      </c>
      <c r="B134" s="7">
        <v>1.01</v>
      </c>
      <c r="C134" t="s">
        <v>45</v>
      </c>
      <c r="E134">
        <f t="shared" si="26"/>
        <v>9.6808438762635696</v>
      </c>
      <c r="F134" s="7">
        <f t="shared" si="27"/>
        <v>9.950330853168092E-3</v>
      </c>
      <c r="G134">
        <f t="shared" si="28"/>
        <v>0</v>
      </c>
      <c r="H134">
        <f t="shared" si="29"/>
        <v>0</v>
      </c>
      <c r="I134">
        <f t="shared" si="30"/>
        <v>0</v>
      </c>
      <c r="J134">
        <f t="shared" si="31"/>
        <v>0</v>
      </c>
      <c r="K134">
        <f t="shared" si="32"/>
        <v>0</v>
      </c>
      <c r="L134">
        <f t="shared" si="33"/>
        <v>0</v>
      </c>
      <c r="M134">
        <f t="shared" si="34"/>
        <v>0</v>
      </c>
      <c r="N134">
        <f t="shared" si="35"/>
        <v>0</v>
      </c>
      <c r="O134">
        <f t="shared" si="36"/>
        <v>0</v>
      </c>
      <c r="P134">
        <f t="shared" si="37"/>
        <v>0</v>
      </c>
    </row>
    <row r="135" spans="1:16">
      <c r="A135">
        <v>10692</v>
      </c>
      <c r="B135" s="7">
        <v>1.01</v>
      </c>
      <c r="C135" t="s">
        <v>46</v>
      </c>
      <c r="E135">
        <f t="shared" si="26"/>
        <v>9.2772510772588088</v>
      </c>
      <c r="F135" s="7">
        <f t="shared" si="27"/>
        <v>9.950330853168092E-3</v>
      </c>
      <c r="G135">
        <f t="shared" si="28"/>
        <v>1</v>
      </c>
      <c r="H135">
        <f t="shared" si="29"/>
        <v>0</v>
      </c>
      <c r="I135">
        <f t="shared" si="30"/>
        <v>0</v>
      </c>
      <c r="J135">
        <f t="shared" si="31"/>
        <v>0</v>
      </c>
      <c r="K135">
        <f t="shared" si="32"/>
        <v>0</v>
      </c>
      <c r="L135">
        <f t="shared" si="33"/>
        <v>9.950330853168092E-3</v>
      </c>
      <c r="M135">
        <f t="shared" si="34"/>
        <v>0</v>
      </c>
      <c r="N135">
        <f t="shared" si="35"/>
        <v>0</v>
      </c>
      <c r="O135">
        <f t="shared" si="36"/>
        <v>0</v>
      </c>
      <c r="P135">
        <f t="shared" si="37"/>
        <v>0</v>
      </c>
    </row>
    <row r="136" spans="1:16">
      <c r="A136">
        <v>9853</v>
      </c>
      <c r="B136" s="7">
        <v>1.01</v>
      </c>
      <c r="C136" t="s">
        <v>46</v>
      </c>
      <c r="E136">
        <f t="shared" si="26"/>
        <v>9.1955312563224751</v>
      </c>
      <c r="F136" s="7">
        <f t="shared" si="27"/>
        <v>9.950330853168092E-3</v>
      </c>
      <c r="G136">
        <f t="shared" si="28"/>
        <v>1</v>
      </c>
      <c r="H136">
        <f t="shared" si="29"/>
        <v>0</v>
      </c>
      <c r="I136">
        <f t="shared" si="30"/>
        <v>0</v>
      </c>
      <c r="J136">
        <f t="shared" si="31"/>
        <v>0</v>
      </c>
      <c r="K136">
        <f t="shared" si="32"/>
        <v>0</v>
      </c>
      <c r="L136">
        <f t="shared" si="33"/>
        <v>9.950330853168092E-3</v>
      </c>
      <c r="M136">
        <f t="shared" si="34"/>
        <v>0</v>
      </c>
      <c r="N136">
        <f t="shared" si="35"/>
        <v>0</v>
      </c>
      <c r="O136">
        <f t="shared" si="36"/>
        <v>0</v>
      </c>
      <c r="P136">
        <f t="shared" si="37"/>
        <v>0</v>
      </c>
    </row>
    <row r="137" spans="1:16">
      <c r="A137">
        <v>10272</v>
      </c>
      <c r="B137" s="7">
        <v>1.01</v>
      </c>
      <c r="C137" t="s">
        <v>3</v>
      </c>
      <c r="E137">
        <f t="shared" si="26"/>
        <v>9.2371770259297428</v>
      </c>
      <c r="F137" s="7">
        <f t="shared" si="27"/>
        <v>9.950330853168092E-3</v>
      </c>
      <c r="G137">
        <f t="shared" si="28"/>
        <v>0</v>
      </c>
      <c r="H137">
        <f t="shared" si="29"/>
        <v>1</v>
      </c>
      <c r="I137">
        <f t="shared" si="30"/>
        <v>0</v>
      </c>
      <c r="J137">
        <f t="shared" si="31"/>
        <v>0</v>
      </c>
      <c r="K137">
        <f t="shared" si="32"/>
        <v>0</v>
      </c>
      <c r="L137">
        <f t="shared" si="33"/>
        <v>0</v>
      </c>
      <c r="M137">
        <f t="shared" si="34"/>
        <v>9.950330853168092E-3</v>
      </c>
      <c r="N137">
        <f t="shared" si="35"/>
        <v>0</v>
      </c>
      <c r="O137">
        <f t="shared" si="36"/>
        <v>0</v>
      </c>
      <c r="P137">
        <f t="shared" si="37"/>
        <v>0</v>
      </c>
    </row>
    <row r="138" spans="1:16">
      <c r="A138">
        <v>9573</v>
      </c>
      <c r="B138" s="7">
        <v>1.01</v>
      </c>
      <c r="C138" t="s">
        <v>3</v>
      </c>
      <c r="E138">
        <f t="shared" si="26"/>
        <v>9.1667019149463531</v>
      </c>
      <c r="F138" s="7">
        <f t="shared" si="27"/>
        <v>9.950330853168092E-3</v>
      </c>
      <c r="G138">
        <f t="shared" si="28"/>
        <v>0</v>
      </c>
      <c r="H138">
        <f t="shared" si="29"/>
        <v>1</v>
      </c>
      <c r="I138">
        <f t="shared" si="30"/>
        <v>0</v>
      </c>
      <c r="J138">
        <f t="shared" si="31"/>
        <v>0</v>
      </c>
      <c r="K138">
        <f t="shared" si="32"/>
        <v>0</v>
      </c>
      <c r="L138">
        <f t="shared" si="33"/>
        <v>0</v>
      </c>
      <c r="M138">
        <f t="shared" si="34"/>
        <v>9.950330853168092E-3</v>
      </c>
      <c r="N138">
        <f t="shared" si="35"/>
        <v>0</v>
      </c>
      <c r="O138">
        <f t="shared" si="36"/>
        <v>0</v>
      </c>
      <c r="P138">
        <f t="shared" si="37"/>
        <v>0</v>
      </c>
    </row>
    <row r="139" spans="1:16">
      <c r="A139">
        <v>9153</v>
      </c>
      <c r="B139" s="7">
        <v>1.01</v>
      </c>
      <c r="C139" t="s">
        <v>48</v>
      </c>
      <c r="E139">
        <f t="shared" si="26"/>
        <v>9.1218369733847791</v>
      </c>
      <c r="F139" s="7">
        <f t="shared" si="27"/>
        <v>9.950330853168092E-3</v>
      </c>
      <c r="G139">
        <f t="shared" si="28"/>
        <v>0</v>
      </c>
      <c r="H139">
        <f t="shared" si="29"/>
        <v>0</v>
      </c>
      <c r="I139">
        <f t="shared" si="30"/>
        <v>0</v>
      </c>
      <c r="J139">
        <f t="shared" si="31"/>
        <v>1</v>
      </c>
      <c r="K139">
        <f t="shared" si="32"/>
        <v>0</v>
      </c>
      <c r="L139">
        <f t="shared" si="33"/>
        <v>0</v>
      </c>
      <c r="M139">
        <f t="shared" si="34"/>
        <v>0</v>
      </c>
      <c r="N139">
        <f t="shared" si="35"/>
        <v>0</v>
      </c>
      <c r="O139">
        <f t="shared" si="36"/>
        <v>9.950330853168092E-3</v>
      </c>
      <c r="P139">
        <f t="shared" si="37"/>
        <v>0</v>
      </c>
    </row>
    <row r="140" spans="1:16">
      <c r="A140">
        <v>8873</v>
      </c>
      <c r="B140" s="7">
        <v>1.01</v>
      </c>
      <c r="C140" t="s">
        <v>48</v>
      </c>
      <c r="E140">
        <f t="shared" si="26"/>
        <v>9.0907682368353377</v>
      </c>
      <c r="F140" s="7">
        <f t="shared" si="27"/>
        <v>9.950330853168092E-3</v>
      </c>
      <c r="G140">
        <f t="shared" si="28"/>
        <v>0</v>
      </c>
      <c r="H140">
        <f t="shared" si="29"/>
        <v>0</v>
      </c>
      <c r="I140">
        <f t="shared" si="30"/>
        <v>0</v>
      </c>
      <c r="J140">
        <f t="shared" si="31"/>
        <v>1</v>
      </c>
      <c r="K140">
        <f t="shared" si="32"/>
        <v>0</v>
      </c>
      <c r="L140">
        <f t="shared" si="33"/>
        <v>0</v>
      </c>
      <c r="M140">
        <f t="shared" si="34"/>
        <v>0</v>
      </c>
      <c r="N140">
        <f t="shared" si="35"/>
        <v>0</v>
      </c>
      <c r="O140">
        <f t="shared" si="36"/>
        <v>9.950330853168092E-3</v>
      </c>
      <c r="P140">
        <f t="shared" si="37"/>
        <v>0</v>
      </c>
    </row>
    <row r="141" spans="1:16">
      <c r="A141">
        <v>8873</v>
      </c>
      <c r="B141" s="7">
        <v>1.01</v>
      </c>
      <c r="C141" t="s">
        <v>49</v>
      </c>
      <c r="E141">
        <f t="shared" si="26"/>
        <v>9.0907682368353377</v>
      </c>
      <c r="F141" s="7">
        <f t="shared" si="27"/>
        <v>9.950330853168092E-3</v>
      </c>
      <c r="G141">
        <f t="shared" si="28"/>
        <v>0</v>
      </c>
      <c r="H141">
        <f t="shared" si="29"/>
        <v>0</v>
      </c>
      <c r="I141">
        <f t="shared" si="30"/>
        <v>0</v>
      </c>
      <c r="J141">
        <f t="shared" si="31"/>
        <v>0</v>
      </c>
      <c r="K141">
        <f t="shared" si="32"/>
        <v>1</v>
      </c>
      <c r="L141">
        <f t="shared" si="33"/>
        <v>0</v>
      </c>
      <c r="M141">
        <f t="shared" si="34"/>
        <v>0</v>
      </c>
      <c r="N141">
        <f t="shared" si="35"/>
        <v>0</v>
      </c>
      <c r="O141">
        <f t="shared" si="36"/>
        <v>0</v>
      </c>
      <c r="P141">
        <f t="shared" si="37"/>
        <v>9.950330853168092E-3</v>
      </c>
    </row>
    <row r="142" spans="1:16">
      <c r="A142">
        <v>8455</v>
      </c>
      <c r="B142" s="7">
        <v>1.01</v>
      </c>
      <c r="C142" t="s">
        <v>49</v>
      </c>
      <c r="E142">
        <f t="shared" si="26"/>
        <v>9.0425132613326813</v>
      </c>
      <c r="F142" s="7">
        <f t="shared" si="27"/>
        <v>9.950330853168092E-3</v>
      </c>
      <c r="G142">
        <f t="shared" si="28"/>
        <v>0</v>
      </c>
      <c r="H142">
        <f t="shared" si="29"/>
        <v>0</v>
      </c>
      <c r="I142">
        <f t="shared" si="30"/>
        <v>0</v>
      </c>
      <c r="J142">
        <f t="shared" si="31"/>
        <v>0</v>
      </c>
      <c r="K142">
        <f t="shared" si="32"/>
        <v>1</v>
      </c>
      <c r="L142">
        <f t="shared" si="33"/>
        <v>0</v>
      </c>
      <c r="M142">
        <f t="shared" si="34"/>
        <v>0</v>
      </c>
      <c r="N142">
        <f t="shared" si="35"/>
        <v>0</v>
      </c>
      <c r="O142">
        <f t="shared" si="36"/>
        <v>0</v>
      </c>
      <c r="P142">
        <f t="shared" si="37"/>
        <v>9.950330853168092E-3</v>
      </c>
    </row>
    <row r="143" spans="1:16">
      <c r="A143">
        <v>7895</v>
      </c>
      <c r="B143" s="7">
        <v>1.01</v>
      </c>
      <c r="C143" t="s">
        <v>49</v>
      </c>
      <c r="E143">
        <f t="shared" si="26"/>
        <v>8.9739849266897433</v>
      </c>
      <c r="F143" s="7">
        <f t="shared" si="27"/>
        <v>9.950330853168092E-3</v>
      </c>
      <c r="G143">
        <f t="shared" si="28"/>
        <v>0</v>
      </c>
      <c r="H143">
        <f t="shared" si="29"/>
        <v>0</v>
      </c>
      <c r="I143">
        <f t="shared" si="30"/>
        <v>0</v>
      </c>
      <c r="J143">
        <f t="shared" si="31"/>
        <v>0</v>
      </c>
      <c r="K143">
        <f t="shared" si="32"/>
        <v>1</v>
      </c>
      <c r="L143">
        <f t="shared" si="33"/>
        <v>0</v>
      </c>
      <c r="M143">
        <f t="shared" si="34"/>
        <v>0</v>
      </c>
      <c r="N143">
        <f t="shared" si="35"/>
        <v>0</v>
      </c>
      <c r="O143">
        <f t="shared" si="36"/>
        <v>0</v>
      </c>
      <c r="P143">
        <f t="shared" si="37"/>
        <v>9.950330853168092E-3</v>
      </c>
    </row>
    <row r="144" spans="1:16">
      <c r="A144">
        <v>10372</v>
      </c>
      <c r="B144" s="7">
        <v>1.02</v>
      </c>
      <c r="C144" t="s">
        <v>3</v>
      </c>
      <c r="E144">
        <f t="shared" si="26"/>
        <v>9.2468651466585552</v>
      </c>
      <c r="F144" s="7">
        <f t="shared" si="27"/>
        <v>1.980262729617973E-2</v>
      </c>
      <c r="G144">
        <f t="shared" si="28"/>
        <v>0</v>
      </c>
      <c r="H144">
        <f t="shared" si="29"/>
        <v>1</v>
      </c>
      <c r="I144">
        <f t="shared" si="30"/>
        <v>0</v>
      </c>
      <c r="J144">
        <f t="shared" si="31"/>
        <v>0</v>
      </c>
      <c r="K144">
        <f t="shared" si="32"/>
        <v>0</v>
      </c>
      <c r="L144">
        <f t="shared" si="33"/>
        <v>0</v>
      </c>
      <c r="M144">
        <f t="shared" si="34"/>
        <v>1.980262729617973E-2</v>
      </c>
      <c r="N144">
        <f t="shared" si="35"/>
        <v>0</v>
      </c>
      <c r="O144">
        <f t="shared" si="36"/>
        <v>0</v>
      </c>
      <c r="P144">
        <f t="shared" si="37"/>
        <v>0</v>
      </c>
    </row>
    <row r="145" spans="1:16">
      <c r="A145">
        <v>9666</v>
      </c>
      <c r="B145" s="7">
        <v>1.02</v>
      </c>
      <c r="C145" t="s">
        <v>3</v>
      </c>
      <c r="E145">
        <f t="shared" si="26"/>
        <v>9.1763698524050294</v>
      </c>
      <c r="F145" s="7">
        <f t="shared" si="27"/>
        <v>1.980262729617973E-2</v>
      </c>
      <c r="G145">
        <f t="shared" si="28"/>
        <v>0</v>
      </c>
      <c r="H145">
        <f t="shared" si="29"/>
        <v>1</v>
      </c>
      <c r="I145">
        <f t="shared" si="30"/>
        <v>0</v>
      </c>
      <c r="J145">
        <f t="shared" si="31"/>
        <v>0</v>
      </c>
      <c r="K145">
        <f t="shared" si="32"/>
        <v>0</v>
      </c>
      <c r="L145">
        <f t="shared" si="33"/>
        <v>0</v>
      </c>
      <c r="M145">
        <f t="shared" si="34"/>
        <v>1.980262729617973E-2</v>
      </c>
      <c r="N145">
        <f t="shared" si="35"/>
        <v>0</v>
      </c>
      <c r="O145">
        <f t="shared" si="36"/>
        <v>0</v>
      </c>
      <c r="P145">
        <f t="shared" si="37"/>
        <v>0</v>
      </c>
    </row>
    <row r="146" spans="1:16">
      <c r="A146">
        <v>10090</v>
      </c>
      <c r="B146" s="7">
        <v>1.02</v>
      </c>
      <c r="C146" t="s">
        <v>47</v>
      </c>
      <c r="E146">
        <f t="shared" si="26"/>
        <v>9.2193001133476553</v>
      </c>
      <c r="F146" s="7">
        <f t="shared" si="27"/>
        <v>1.980262729617973E-2</v>
      </c>
      <c r="G146">
        <f t="shared" si="28"/>
        <v>0</v>
      </c>
      <c r="H146">
        <f t="shared" si="29"/>
        <v>0</v>
      </c>
      <c r="I146">
        <f t="shared" si="30"/>
        <v>1</v>
      </c>
      <c r="J146">
        <f t="shared" si="31"/>
        <v>0</v>
      </c>
      <c r="K146">
        <f t="shared" si="32"/>
        <v>0</v>
      </c>
      <c r="L146">
        <f t="shared" si="33"/>
        <v>0</v>
      </c>
      <c r="M146">
        <f t="shared" si="34"/>
        <v>0</v>
      </c>
      <c r="N146">
        <f t="shared" si="35"/>
        <v>1.980262729617973E-2</v>
      </c>
      <c r="O146">
        <f t="shared" si="36"/>
        <v>0</v>
      </c>
      <c r="P146">
        <f t="shared" si="37"/>
        <v>0</v>
      </c>
    </row>
    <row r="147" spans="1:16">
      <c r="A147">
        <v>10900</v>
      </c>
      <c r="B147" s="7">
        <v>1.03</v>
      </c>
      <c r="C147" t="s">
        <v>46</v>
      </c>
      <c r="E147">
        <f t="shared" si="26"/>
        <v>9.2965180682172353</v>
      </c>
      <c r="F147" s="7">
        <f t="shared" si="27"/>
        <v>2.9558802241544429E-2</v>
      </c>
      <c r="G147">
        <f t="shared" si="28"/>
        <v>1</v>
      </c>
      <c r="H147">
        <f t="shared" si="29"/>
        <v>0</v>
      </c>
      <c r="I147">
        <f t="shared" si="30"/>
        <v>0</v>
      </c>
      <c r="J147">
        <f t="shared" si="31"/>
        <v>0</v>
      </c>
      <c r="K147">
        <f t="shared" si="32"/>
        <v>0</v>
      </c>
      <c r="L147">
        <f t="shared" si="33"/>
        <v>2.9558802241544429E-2</v>
      </c>
      <c r="M147">
        <f t="shared" si="34"/>
        <v>0</v>
      </c>
      <c r="N147">
        <f t="shared" si="35"/>
        <v>0</v>
      </c>
      <c r="O147">
        <f t="shared" si="36"/>
        <v>0</v>
      </c>
      <c r="P147">
        <f t="shared" si="37"/>
        <v>0</v>
      </c>
    </row>
    <row r="148" spans="1:16">
      <c r="A148">
        <v>10571</v>
      </c>
      <c r="B148" s="7">
        <v>1.04</v>
      </c>
      <c r="C148" t="s">
        <v>3</v>
      </c>
      <c r="E148">
        <f t="shared" si="26"/>
        <v>9.2658696817686632</v>
      </c>
      <c r="F148" s="7">
        <f t="shared" si="27"/>
        <v>3.9220713153281329E-2</v>
      </c>
      <c r="G148">
        <f t="shared" si="28"/>
        <v>0</v>
      </c>
      <c r="H148">
        <f t="shared" si="29"/>
        <v>1</v>
      </c>
      <c r="I148">
        <f t="shared" si="30"/>
        <v>0</v>
      </c>
      <c r="J148">
        <f t="shared" si="31"/>
        <v>0</v>
      </c>
      <c r="K148">
        <f t="shared" si="32"/>
        <v>0</v>
      </c>
      <c r="L148">
        <f t="shared" si="33"/>
        <v>0</v>
      </c>
      <c r="M148">
        <f t="shared" si="34"/>
        <v>3.9220713153281329E-2</v>
      </c>
      <c r="N148">
        <f t="shared" si="35"/>
        <v>0</v>
      </c>
      <c r="O148">
        <f t="shared" si="36"/>
        <v>0</v>
      </c>
      <c r="P148">
        <f t="shared" si="37"/>
        <v>0</v>
      </c>
    </row>
    <row r="149" spans="1:16">
      <c r="A149">
        <v>9563</v>
      </c>
      <c r="B149" s="7">
        <v>1.04</v>
      </c>
      <c r="C149" t="s">
        <v>49</v>
      </c>
      <c r="E149">
        <f t="shared" si="26"/>
        <v>9.1656567643495421</v>
      </c>
      <c r="F149" s="7">
        <f t="shared" si="27"/>
        <v>3.9220713153281329E-2</v>
      </c>
      <c r="G149">
        <f t="shared" si="28"/>
        <v>0</v>
      </c>
      <c r="H149">
        <f t="shared" si="29"/>
        <v>0</v>
      </c>
      <c r="I149">
        <f t="shared" si="30"/>
        <v>0</v>
      </c>
      <c r="J149">
        <f t="shared" si="31"/>
        <v>0</v>
      </c>
      <c r="K149">
        <f t="shared" si="32"/>
        <v>1</v>
      </c>
      <c r="L149">
        <f t="shared" si="33"/>
        <v>0</v>
      </c>
      <c r="M149">
        <f t="shared" si="34"/>
        <v>0</v>
      </c>
      <c r="N149">
        <f t="shared" si="35"/>
        <v>0</v>
      </c>
      <c r="O149">
        <f t="shared" si="36"/>
        <v>0</v>
      </c>
      <c r="P149">
        <f t="shared" si="37"/>
        <v>3.9220713153281329E-2</v>
      </c>
    </row>
    <row r="150" spans="1:16">
      <c r="A150">
        <v>8781</v>
      </c>
      <c r="B150" s="7">
        <v>1.05</v>
      </c>
      <c r="C150" t="s">
        <v>49</v>
      </c>
      <c r="E150">
        <f t="shared" si="26"/>
        <v>9.0803455753599955</v>
      </c>
      <c r="F150" s="7">
        <f t="shared" si="27"/>
        <v>4.8790164169432049E-2</v>
      </c>
      <c r="G150">
        <f t="shared" si="28"/>
        <v>0</v>
      </c>
      <c r="H150">
        <f t="shared" si="29"/>
        <v>0</v>
      </c>
      <c r="I150">
        <f t="shared" si="30"/>
        <v>0</v>
      </c>
      <c r="J150">
        <f t="shared" si="31"/>
        <v>0</v>
      </c>
      <c r="K150">
        <f t="shared" si="32"/>
        <v>1</v>
      </c>
      <c r="L150">
        <f t="shared" si="33"/>
        <v>0</v>
      </c>
      <c r="M150">
        <f t="shared" si="34"/>
        <v>0</v>
      </c>
      <c r="N150">
        <f t="shared" si="35"/>
        <v>0</v>
      </c>
      <c r="O150">
        <f t="shared" si="36"/>
        <v>0</v>
      </c>
      <c r="P150">
        <f t="shared" si="37"/>
        <v>4.8790164169432049E-2</v>
      </c>
    </row>
    <row r="151" spans="1:16">
      <c r="A151">
        <v>9743</v>
      </c>
      <c r="B151" s="7">
        <v>1.06</v>
      </c>
      <c r="C151" t="s">
        <v>47</v>
      </c>
      <c r="E151">
        <f t="shared" si="26"/>
        <v>9.1843043574253418</v>
      </c>
      <c r="F151" s="7">
        <f t="shared" si="27"/>
        <v>5.8268908123975824E-2</v>
      </c>
      <c r="G151">
        <f t="shared" si="28"/>
        <v>0</v>
      </c>
      <c r="H151">
        <f t="shared" si="29"/>
        <v>0</v>
      </c>
      <c r="I151">
        <f t="shared" si="30"/>
        <v>1</v>
      </c>
      <c r="J151">
        <f t="shared" si="31"/>
        <v>0</v>
      </c>
      <c r="K151">
        <f t="shared" si="32"/>
        <v>0</v>
      </c>
      <c r="L151">
        <f t="shared" si="33"/>
        <v>0</v>
      </c>
      <c r="M151">
        <f t="shared" si="34"/>
        <v>0</v>
      </c>
      <c r="N151">
        <f t="shared" si="35"/>
        <v>5.8268908123975824E-2</v>
      </c>
      <c r="O151">
        <f t="shared" si="36"/>
        <v>0</v>
      </c>
      <c r="P151">
        <f t="shared" si="37"/>
        <v>0</v>
      </c>
    </row>
    <row r="152" spans="1:16">
      <c r="A152">
        <v>9302</v>
      </c>
      <c r="B152" s="7">
        <v>1.06</v>
      </c>
      <c r="C152" t="s">
        <v>48</v>
      </c>
      <c r="E152">
        <f t="shared" si="26"/>
        <v>9.1379847097840425</v>
      </c>
      <c r="F152" s="7">
        <f t="shared" si="27"/>
        <v>5.8268908123975824E-2</v>
      </c>
      <c r="G152">
        <f t="shared" si="28"/>
        <v>0</v>
      </c>
      <c r="H152">
        <f t="shared" si="29"/>
        <v>0</v>
      </c>
      <c r="I152">
        <f t="shared" si="30"/>
        <v>0</v>
      </c>
      <c r="J152">
        <f t="shared" si="31"/>
        <v>1</v>
      </c>
      <c r="K152">
        <f t="shared" si="32"/>
        <v>0</v>
      </c>
      <c r="L152">
        <f t="shared" si="33"/>
        <v>0</v>
      </c>
      <c r="M152">
        <f t="shared" si="34"/>
        <v>0</v>
      </c>
      <c r="N152">
        <f t="shared" si="35"/>
        <v>0</v>
      </c>
      <c r="O152">
        <f t="shared" si="36"/>
        <v>5.8268908123975824E-2</v>
      </c>
      <c r="P152">
        <f t="shared" si="37"/>
        <v>0</v>
      </c>
    </row>
    <row r="153" spans="1:16">
      <c r="A153">
        <v>8945</v>
      </c>
      <c r="B153" s="7">
        <v>1.07</v>
      </c>
      <c r="C153" t="s">
        <v>49</v>
      </c>
      <c r="E153">
        <f t="shared" si="26"/>
        <v>9.0988499959428193</v>
      </c>
      <c r="F153" s="7">
        <f t="shared" si="27"/>
        <v>6.7658648473814864E-2</v>
      </c>
      <c r="G153">
        <f t="shared" si="28"/>
        <v>0</v>
      </c>
      <c r="H153">
        <f t="shared" si="29"/>
        <v>0</v>
      </c>
      <c r="I153">
        <f t="shared" si="30"/>
        <v>0</v>
      </c>
      <c r="J153">
        <f t="shared" si="31"/>
        <v>0</v>
      </c>
      <c r="K153">
        <f t="shared" si="32"/>
        <v>1</v>
      </c>
      <c r="L153">
        <f t="shared" si="33"/>
        <v>0</v>
      </c>
      <c r="M153">
        <f t="shared" si="34"/>
        <v>0</v>
      </c>
      <c r="N153">
        <f t="shared" si="35"/>
        <v>0</v>
      </c>
      <c r="O153">
        <f t="shared" si="36"/>
        <v>0</v>
      </c>
      <c r="P153">
        <f t="shared" si="37"/>
        <v>6.7658648473814864E-2</v>
      </c>
    </row>
    <row r="154" spans="1:16">
      <c r="A154">
        <v>9646</v>
      </c>
      <c r="B154" s="7">
        <v>1.1000000000000001</v>
      </c>
      <c r="C154" t="s">
        <v>48</v>
      </c>
      <c r="E154">
        <f t="shared" si="26"/>
        <v>9.1742986006289176</v>
      </c>
      <c r="F154" s="7">
        <f t="shared" si="27"/>
        <v>9.5310179804324935E-2</v>
      </c>
      <c r="G154">
        <f t="shared" si="28"/>
        <v>0</v>
      </c>
      <c r="H154">
        <f t="shared" si="29"/>
        <v>0</v>
      </c>
      <c r="I154">
        <f t="shared" si="30"/>
        <v>0</v>
      </c>
      <c r="J154">
        <f t="shared" si="31"/>
        <v>1</v>
      </c>
      <c r="K154">
        <f t="shared" si="32"/>
        <v>0</v>
      </c>
      <c r="L154">
        <f t="shared" si="33"/>
        <v>0</v>
      </c>
      <c r="M154">
        <f t="shared" si="34"/>
        <v>0</v>
      </c>
      <c r="N154">
        <f t="shared" si="35"/>
        <v>0</v>
      </c>
      <c r="O154">
        <f t="shared" si="36"/>
        <v>9.5310179804324935E-2</v>
      </c>
      <c r="P154">
        <f t="shared" si="37"/>
        <v>0</v>
      </c>
    </row>
    <row r="155" spans="1:16">
      <c r="A155">
        <v>823</v>
      </c>
      <c r="B155" s="7">
        <v>0.18</v>
      </c>
      <c r="C155" t="s">
        <v>3</v>
      </c>
      <c r="E155">
        <f t="shared" si="26"/>
        <v>6.7129562006770698</v>
      </c>
      <c r="F155" s="7">
        <f t="shared" si="27"/>
        <v>-1.7147984280919266</v>
      </c>
      <c r="G155">
        <f t="shared" si="28"/>
        <v>0</v>
      </c>
      <c r="H155">
        <f t="shared" si="29"/>
        <v>1</v>
      </c>
      <c r="I155">
        <f t="shared" si="30"/>
        <v>0</v>
      </c>
      <c r="J155">
        <f t="shared" si="31"/>
        <v>0</v>
      </c>
      <c r="K155">
        <f t="shared" si="32"/>
        <v>0</v>
      </c>
      <c r="L155">
        <f t="shared" si="33"/>
        <v>0</v>
      </c>
      <c r="M155">
        <f t="shared" si="34"/>
        <v>-1.7147984280919266</v>
      </c>
      <c r="N155">
        <f t="shared" si="35"/>
        <v>0</v>
      </c>
      <c r="O155">
        <f t="shared" si="36"/>
        <v>0</v>
      </c>
      <c r="P155">
        <f t="shared" si="37"/>
        <v>0</v>
      </c>
    </row>
    <row r="156" spans="1:16">
      <c r="A156">
        <v>765</v>
      </c>
      <c r="B156" s="7">
        <v>0.18</v>
      </c>
      <c r="C156" t="s">
        <v>3</v>
      </c>
      <c r="E156">
        <f t="shared" si="26"/>
        <v>6.6398758338265358</v>
      </c>
      <c r="F156" s="7">
        <f t="shared" si="27"/>
        <v>-1.7147984280919266</v>
      </c>
      <c r="G156">
        <f t="shared" si="28"/>
        <v>0</v>
      </c>
      <c r="H156">
        <f t="shared" si="29"/>
        <v>1</v>
      </c>
      <c r="I156">
        <f t="shared" si="30"/>
        <v>0</v>
      </c>
      <c r="J156">
        <f t="shared" si="31"/>
        <v>0</v>
      </c>
      <c r="K156">
        <f t="shared" si="32"/>
        <v>0</v>
      </c>
      <c r="L156">
        <f t="shared" si="33"/>
        <v>0</v>
      </c>
      <c r="M156">
        <f t="shared" si="34"/>
        <v>-1.7147984280919266</v>
      </c>
      <c r="N156">
        <f t="shared" si="35"/>
        <v>0</v>
      </c>
      <c r="O156">
        <f t="shared" si="36"/>
        <v>0</v>
      </c>
      <c r="P156">
        <f t="shared" si="37"/>
        <v>0</v>
      </c>
    </row>
    <row r="157" spans="1:16">
      <c r="A157">
        <v>803</v>
      </c>
      <c r="B157" s="7">
        <v>0.18</v>
      </c>
      <c r="C157" t="s">
        <v>47</v>
      </c>
      <c r="E157">
        <f t="shared" si="26"/>
        <v>6.6883547139467616</v>
      </c>
      <c r="F157" s="7">
        <f t="shared" si="27"/>
        <v>-1.7147984280919266</v>
      </c>
      <c r="G157">
        <f t="shared" si="28"/>
        <v>0</v>
      </c>
      <c r="H157">
        <f t="shared" si="29"/>
        <v>0</v>
      </c>
      <c r="I157">
        <f t="shared" si="30"/>
        <v>1</v>
      </c>
      <c r="J157">
        <f t="shared" si="31"/>
        <v>0</v>
      </c>
      <c r="K157">
        <f t="shared" si="32"/>
        <v>0</v>
      </c>
      <c r="L157">
        <f t="shared" si="33"/>
        <v>0</v>
      </c>
      <c r="M157">
        <f t="shared" si="34"/>
        <v>0</v>
      </c>
      <c r="N157">
        <f t="shared" si="35"/>
        <v>-1.7147984280919266</v>
      </c>
      <c r="O157">
        <f t="shared" si="36"/>
        <v>0</v>
      </c>
      <c r="P157">
        <f t="shared" si="37"/>
        <v>0</v>
      </c>
    </row>
    <row r="158" spans="1:16">
      <c r="A158">
        <v>803</v>
      </c>
      <c r="B158" s="7">
        <v>0.18</v>
      </c>
      <c r="C158" t="s">
        <v>47</v>
      </c>
      <c r="E158">
        <f t="shared" si="26"/>
        <v>6.6883547139467616</v>
      </c>
      <c r="F158" s="7">
        <f t="shared" si="27"/>
        <v>-1.7147984280919266</v>
      </c>
      <c r="G158">
        <f t="shared" si="28"/>
        <v>0</v>
      </c>
      <c r="H158">
        <f t="shared" si="29"/>
        <v>0</v>
      </c>
      <c r="I158">
        <f t="shared" si="30"/>
        <v>1</v>
      </c>
      <c r="J158">
        <f t="shared" si="31"/>
        <v>0</v>
      </c>
      <c r="K158">
        <f t="shared" si="32"/>
        <v>0</v>
      </c>
      <c r="L158">
        <f t="shared" si="33"/>
        <v>0</v>
      </c>
      <c r="M158">
        <f t="shared" si="34"/>
        <v>0</v>
      </c>
      <c r="N158">
        <f t="shared" si="35"/>
        <v>-1.7147984280919266</v>
      </c>
      <c r="O158">
        <f t="shared" si="36"/>
        <v>0</v>
      </c>
      <c r="P158">
        <f t="shared" si="37"/>
        <v>0</v>
      </c>
    </row>
    <row r="159" spans="1:16">
      <c r="A159">
        <v>705</v>
      </c>
      <c r="B159" s="7">
        <v>0.18</v>
      </c>
      <c r="C159" t="s">
        <v>47</v>
      </c>
      <c r="E159">
        <f t="shared" si="26"/>
        <v>6.5581978028122689</v>
      </c>
      <c r="F159" s="7">
        <f t="shared" si="27"/>
        <v>-1.7147984280919266</v>
      </c>
      <c r="G159">
        <f t="shared" si="28"/>
        <v>0</v>
      </c>
      <c r="H159">
        <f t="shared" si="29"/>
        <v>0</v>
      </c>
      <c r="I159">
        <f t="shared" si="30"/>
        <v>1</v>
      </c>
      <c r="J159">
        <f t="shared" si="31"/>
        <v>0</v>
      </c>
      <c r="K159">
        <f t="shared" si="32"/>
        <v>0</v>
      </c>
      <c r="L159">
        <f t="shared" si="33"/>
        <v>0</v>
      </c>
      <c r="M159">
        <f t="shared" si="34"/>
        <v>0</v>
      </c>
      <c r="N159">
        <f t="shared" si="35"/>
        <v>-1.7147984280919266</v>
      </c>
      <c r="O159">
        <f t="shared" si="36"/>
        <v>0</v>
      </c>
      <c r="P159">
        <f t="shared" si="37"/>
        <v>0</v>
      </c>
    </row>
    <row r="160" spans="1:16">
      <c r="A160">
        <v>725</v>
      </c>
      <c r="B160" s="7">
        <v>0.18</v>
      </c>
      <c r="C160" t="s">
        <v>48</v>
      </c>
      <c r="E160">
        <f t="shared" si="26"/>
        <v>6.5861716548546747</v>
      </c>
      <c r="F160" s="7">
        <f t="shared" si="27"/>
        <v>-1.7147984280919266</v>
      </c>
      <c r="G160">
        <f t="shared" si="28"/>
        <v>0</v>
      </c>
      <c r="H160">
        <f t="shared" si="29"/>
        <v>0</v>
      </c>
      <c r="I160">
        <f t="shared" si="30"/>
        <v>0</v>
      </c>
      <c r="J160">
        <f t="shared" si="31"/>
        <v>1</v>
      </c>
      <c r="K160">
        <f t="shared" si="32"/>
        <v>0</v>
      </c>
      <c r="L160">
        <f t="shared" si="33"/>
        <v>0</v>
      </c>
      <c r="M160">
        <f t="shared" si="34"/>
        <v>0</v>
      </c>
      <c r="N160">
        <f t="shared" si="35"/>
        <v>0</v>
      </c>
      <c r="O160">
        <f t="shared" si="36"/>
        <v>-1.7147984280919266</v>
      </c>
      <c r="P160">
        <f t="shared" si="37"/>
        <v>0</v>
      </c>
    </row>
    <row r="161" spans="1:16">
      <c r="A161">
        <v>967</v>
      </c>
      <c r="B161" s="7">
        <v>0.19</v>
      </c>
      <c r="C161" t="s">
        <v>45</v>
      </c>
      <c r="E161">
        <f t="shared" si="26"/>
        <v>6.8741984954532942</v>
      </c>
      <c r="F161" s="7">
        <f t="shared" si="27"/>
        <v>-1.6607312068216509</v>
      </c>
      <c r="G161">
        <f t="shared" si="28"/>
        <v>0</v>
      </c>
      <c r="H161">
        <f t="shared" si="29"/>
        <v>0</v>
      </c>
      <c r="I161">
        <f t="shared" si="30"/>
        <v>0</v>
      </c>
      <c r="J161">
        <f t="shared" si="31"/>
        <v>0</v>
      </c>
      <c r="K161">
        <f t="shared" si="32"/>
        <v>0</v>
      </c>
      <c r="L161">
        <f t="shared" si="33"/>
        <v>0</v>
      </c>
      <c r="M161">
        <f t="shared" si="34"/>
        <v>0</v>
      </c>
      <c r="N161">
        <f t="shared" si="35"/>
        <v>0</v>
      </c>
      <c r="O161">
        <f t="shared" si="36"/>
        <v>0</v>
      </c>
      <c r="P161">
        <f t="shared" si="37"/>
        <v>0</v>
      </c>
    </row>
    <row r="162" spans="1:16">
      <c r="A162">
        <v>1050</v>
      </c>
      <c r="B162" s="7">
        <v>0.19</v>
      </c>
      <c r="C162" t="s">
        <v>46</v>
      </c>
      <c r="E162">
        <f t="shared" si="26"/>
        <v>6.956545443151569</v>
      </c>
      <c r="F162" s="7">
        <f t="shared" si="27"/>
        <v>-1.6607312068216509</v>
      </c>
      <c r="G162">
        <f t="shared" si="28"/>
        <v>1</v>
      </c>
      <c r="H162">
        <f t="shared" si="29"/>
        <v>0</v>
      </c>
      <c r="I162">
        <f t="shared" si="30"/>
        <v>0</v>
      </c>
      <c r="J162">
        <f t="shared" si="31"/>
        <v>0</v>
      </c>
      <c r="K162">
        <f t="shared" si="32"/>
        <v>0</v>
      </c>
      <c r="L162">
        <f t="shared" si="33"/>
        <v>-1.6607312068216509</v>
      </c>
      <c r="M162">
        <f t="shared" si="34"/>
        <v>0</v>
      </c>
      <c r="N162">
        <f t="shared" si="35"/>
        <v>0</v>
      </c>
      <c r="O162">
        <f t="shared" si="36"/>
        <v>0</v>
      </c>
      <c r="P162">
        <f t="shared" si="37"/>
        <v>0</v>
      </c>
    </row>
    <row r="163" spans="1:16">
      <c r="A163">
        <v>967</v>
      </c>
      <c r="B163" s="7">
        <v>0.19</v>
      </c>
      <c r="C163" t="s">
        <v>3</v>
      </c>
      <c r="E163">
        <f t="shared" si="26"/>
        <v>6.8741984954532942</v>
      </c>
      <c r="F163" s="7">
        <f t="shared" si="27"/>
        <v>-1.6607312068216509</v>
      </c>
      <c r="G163">
        <f t="shared" si="28"/>
        <v>0</v>
      </c>
      <c r="H163">
        <f t="shared" si="29"/>
        <v>1</v>
      </c>
      <c r="I163">
        <f t="shared" si="30"/>
        <v>0</v>
      </c>
      <c r="J163">
        <f t="shared" si="31"/>
        <v>0</v>
      </c>
      <c r="K163">
        <f t="shared" si="32"/>
        <v>0</v>
      </c>
      <c r="L163">
        <f t="shared" si="33"/>
        <v>0</v>
      </c>
      <c r="M163">
        <f t="shared" si="34"/>
        <v>-1.6607312068216509</v>
      </c>
      <c r="N163">
        <f t="shared" si="35"/>
        <v>0</v>
      </c>
      <c r="O163">
        <f t="shared" si="36"/>
        <v>0</v>
      </c>
      <c r="P163">
        <f t="shared" si="37"/>
        <v>0</v>
      </c>
    </row>
    <row r="164" spans="1:16">
      <c r="A164">
        <v>863</v>
      </c>
      <c r="B164" s="7">
        <v>0.19</v>
      </c>
      <c r="C164" t="s">
        <v>3</v>
      </c>
      <c r="E164">
        <f t="shared" si="26"/>
        <v>6.7604146910834277</v>
      </c>
      <c r="F164" s="7">
        <f t="shared" si="27"/>
        <v>-1.6607312068216509</v>
      </c>
      <c r="G164">
        <f t="shared" si="28"/>
        <v>0</v>
      </c>
      <c r="H164">
        <f t="shared" si="29"/>
        <v>1</v>
      </c>
      <c r="I164">
        <f t="shared" si="30"/>
        <v>0</v>
      </c>
      <c r="J164">
        <f t="shared" si="31"/>
        <v>0</v>
      </c>
      <c r="K164">
        <f t="shared" si="32"/>
        <v>0</v>
      </c>
      <c r="L164">
        <f t="shared" si="33"/>
        <v>0</v>
      </c>
      <c r="M164">
        <f t="shared" si="34"/>
        <v>-1.6607312068216509</v>
      </c>
      <c r="N164">
        <f t="shared" si="35"/>
        <v>0</v>
      </c>
      <c r="O164">
        <f t="shared" si="36"/>
        <v>0</v>
      </c>
      <c r="P164">
        <f t="shared" si="37"/>
        <v>0</v>
      </c>
    </row>
    <row r="165" spans="1:16">
      <c r="A165">
        <v>800</v>
      </c>
      <c r="B165" s="7">
        <v>0.19</v>
      </c>
      <c r="C165" t="s">
        <v>3</v>
      </c>
      <c r="E165">
        <f t="shared" si="26"/>
        <v>6.6846117276679271</v>
      </c>
      <c r="F165" s="7">
        <f t="shared" si="27"/>
        <v>-1.6607312068216509</v>
      </c>
      <c r="G165">
        <f t="shared" si="28"/>
        <v>0</v>
      </c>
      <c r="H165">
        <f t="shared" si="29"/>
        <v>1</v>
      </c>
      <c r="I165">
        <f t="shared" si="30"/>
        <v>0</v>
      </c>
      <c r="J165">
        <f t="shared" si="31"/>
        <v>0</v>
      </c>
      <c r="K165">
        <f t="shared" si="32"/>
        <v>0</v>
      </c>
      <c r="L165">
        <f t="shared" si="33"/>
        <v>0</v>
      </c>
      <c r="M165">
        <f t="shared" si="34"/>
        <v>-1.6607312068216509</v>
      </c>
      <c r="N165">
        <f t="shared" si="35"/>
        <v>0</v>
      </c>
      <c r="O165">
        <f t="shared" si="36"/>
        <v>0</v>
      </c>
      <c r="P165">
        <f t="shared" si="37"/>
        <v>0</v>
      </c>
    </row>
    <row r="166" spans="1:16">
      <c r="A166">
        <v>842</v>
      </c>
      <c r="B166" s="7">
        <v>0.19</v>
      </c>
      <c r="C166" t="s">
        <v>47</v>
      </c>
      <c r="E166">
        <f t="shared" si="26"/>
        <v>6.7357800142423265</v>
      </c>
      <c r="F166" s="7">
        <f t="shared" si="27"/>
        <v>-1.6607312068216509</v>
      </c>
      <c r="G166">
        <f t="shared" si="28"/>
        <v>0</v>
      </c>
      <c r="H166">
        <f t="shared" si="29"/>
        <v>0</v>
      </c>
      <c r="I166">
        <f t="shared" si="30"/>
        <v>1</v>
      </c>
      <c r="J166">
        <f t="shared" si="31"/>
        <v>0</v>
      </c>
      <c r="K166">
        <f t="shared" si="32"/>
        <v>0</v>
      </c>
      <c r="L166">
        <f t="shared" si="33"/>
        <v>0</v>
      </c>
      <c r="M166">
        <f t="shared" si="34"/>
        <v>0</v>
      </c>
      <c r="N166">
        <f t="shared" si="35"/>
        <v>-1.6607312068216509</v>
      </c>
      <c r="O166">
        <f t="shared" si="36"/>
        <v>0</v>
      </c>
      <c r="P166">
        <f t="shared" si="37"/>
        <v>0</v>
      </c>
    </row>
    <row r="167" spans="1:16">
      <c r="A167">
        <v>800</v>
      </c>
      <c r="B167" s="7">
        <v>0.19</v>
      </c>
      <c r="C167" t="s">
        <v>47</v>
      </c>
      <c r="E167">
        <f t="shared" si="26"/>
        <v>6.6846117276679271</v>
      </c>
      <c r="F167" s="7">
        <f t="shared" si="27"/>
        <v>-1.6607312068216509</v>
      </c>
      <c r="G167">
        <f t="shared" si="28"/>
        <v>0</v>
      </c>
      <c r="H167">
        <f t="shared" si="29"/>
        <v>0</v>
      </c>
      <c r="I167">
        <f t="shared" si="30"/>
        <v>1</v>
      </c>
      <c r="J167">
        <f t="shared" si="31"/>
        <v>0</v>
      </c>
      <c r="K167">
        <f t="shared" si="32"/>
        <v>0</v>
      </c>
      <c r="L167">
        <f t="shared" si="33"/>
        <v>0</v>
      </c>
      <c r="M167">
        <f t="shared" si="34"/>
        <v>0</v>
      </c>
      <c r="N167">
        <f t="shared" si="35"/>
        <v>-1.6607312068216509</v>
      </c>
      <c r="O167">
        <f t="shared" si="36"/>
        <v>0</v>
      </c>
      <c r="P167">
        <f t="shared" si="37"/>
        <v>0</v>
      </c>
    </row>
    <row r="168" spans="1:16">
      <c r="A168">
        <v>758</v>
      </c>
      <c r="B168" s="7">
        <v>0.19</v>
      </c>
      <c r="C168" t="s">
        <v>48</v>
      </c>
      <c r="E168">
        <f t="shared" si="26"/>
        <v>6.6306833856423717</v>
      </c>
      <c r="F168" s="7">
        <f t="shared" si="27"/>
        <v>-1.6607312068216509</v>
      </c>
      <c r="G168">
        <f t="shared" si="28"/>
        <v>0</v>
      </c>
      <c r="H168">
        <f t="shared" si="29"/>
        <v>0</v>
      </c>
      <c r="I168">
        <f t="shared" si="30"/>
        <v>0</v>
      </c>
      <c r="J168">
        <f t="shared" si="31"/>
        <v>1</v>
      </c>
      <c r="K168">
        <f t="shared" si="32"/>
        <v>0</v>
      </c>
      <c r="L168">
        <f t="shared" si="33"/>
        <v>0</v>
      </c>
      <c r="M168">
        <f t="shared" si="34"/>
        <v>0</v>
      </c>
      <c r="N168">
        <f t="shared" si="35"/>
        <v>0</v>
      </c>
      <c r="O168">
        <f t="shared" si="36"/>
        <v>-1.6607312068216509</v>
      </c>
      <c r="P168">
        <f t="shared" si="37"/>
        <v>0</v>
      </c>
    </row>
    <row r="169" spans="1:16">
      <c r="A169">
        <v>880</v>
      </c>
      <c r="B169" s="7">
        <v>0.2</v>
      </c>
      <c r="C169" t="s">
        <v>45</v>
      </c>
      <c r="E169">
        <f t="shared" si="26"/>
        <v>6.7799219074722519</v>
      </c>
      <c r="F169" s="7">
        <f t="shared" si="27"/>
        <v>-1.6094379124341003</v>
      </c>
      <c r="G169">
        <f t="shared" si="28"/>
        <v>0</v>
      </c>
      <c r="H169">
        <f t="shared" si="29"/>
        <v>0</v>
      </c>
      <c r="I169">
        <f t="shared" si="30"/>
        <v>0</v>
      </c>
      <c r="J169">
        <f t="shared" si="31"/>
        <v>0</v>
      </c>
      <c r="K169">
        <f t="shared" si="32"/>
        <v>0</v>
      </c>
      <c r="L169">
        <f t="shared" si="33"/>
        <v>0</v>
      </c>
      <c r="M169">
        <f t="shared" si="34"/>
        <v>0</v>
      </c>
      <c r="N169">
        <f t="shared" si="35"/>
        <v>0</v>
      </c>
      <c r="O169">
        <f t="shared" si="36"/>
        <v>0</v>
      </c>
      <c r="P169">
        <f t="shared" si="37"/>
        <v>0</v>
      </c>
    </row>
    <row r="170" spans="1:16">
      <c r="A170">
        <v>880</v>
      </c>
      <c r="B170" s="7">
        <v>0.2</v>
      </c>
      <c r="C170" t="s">
        <v>47</v>
      </c>
      <c r="E170">
        <f t="shared" si="26"/>
        <v>6.7799219074722519</v>
      </c>
      <c r="F170" s="7">
        <f t="shared" si="27"/>
        <v>-1.6094379124341003</v>
      </c>
      <c r="G170">
        <f t="shared" si="28"/>
        <v>0</v>
      </c>
      <c r="H170">
        <f t="shared" si="29"/>
        <v>0</v>
      </c>
      <c r="I170">
        <f t="shared" si="30"/>
        <v>1</v>
      </c>
      <c r="J170">
        <f t="shared" si="31"/>
        <v>0</v>
      </c>
      <c r="K170">
        <f t="shared" si="32"/>
        <v>0</v>
      </c>
      <c r="L170">
        <f t="shared" si="33"/>
        <v>0</v>
      </c>
      <c r="M170">
        <f t="shared" si="34"/>
        <v>0</v>
      </c>
      <c r="N170">
        <f t="shared" si="35"/>
        <v>-1.6094379124341003</v>
      </c>
      <c r="O170">
        <f t="shared" si="36"/>
        <v>0</v>
      </c>
      <c r="P170">
        <f t="shared" si="37"/>
        <v>0</v>
      </c>
    </row>
    <row r="171" spans="1:16">
      <c r="A171">
        <v>705</v>
      </c>
      <c r="B171" s="7">
        <v>0.2</v>
      </c>
      <c r="C171" t="s">
        <v>47</v>
      </c>
      <c r="E171">
        <f t="shared" si="26"/>
        <v>6.5581978028122689</v>
      </c>
      <c r="F171" s="7">
        <f t="shared" si="27"/>
        <v>-1.6094379124341003</v>
      </c>
      <c r="G171">
        <f t="shared" si="28"/>
        <v>0</v>
      </c>
      <c r="H171">
        <f t="shared" si="29"/>
        <v>0</v>
      </c>
      <c r="I171">
        <f t="shared" si="30"/>
        <v>1</v>
      </c>
      <c r="J171">
        <f t="shared" si="31"/>
        <v>0</v>
      </c>
      <c r="K171">
        <f t="shared" si="32"/>
        <v>0</v>
      </c>
      <c r="L171">
        <f t="shared" si="33"/>
        <v>0</v>
      </c>
      <c r="M171">
        <f t="shared" si="34"/>
        <v>0</v>
      </c>
      <c r="N171">
        <f t="shared" si="35"/>
        <v>-1.6094379124341003</v>
      </c>
      <c r="O171">
        <f t="shared" si="36"/>
        <v>0</v>
      </c>
      <c r="P171">
        <f t="shared" si="37"/>
        <v>0</v>
      </c>
    </row>
    <row r="172" spans="1:16">
      <c r="A172">
        <v>638</v>
      </c>
      <c r="B172" s="7">
        <v>0.2</v>
      </c>
      <c r="C172" t="s">
        <v>47</v>
      </c>
      <c r="E172">
        <f t="shared" si="26"/>
        <v>6.4583382833447898</v>
      </c>
      <c r="F172" s="7">
        <f t="shared" si="27"/>
        <v>-1.6094379124341003</v>
      </c>
      <c r="G172">
        <f t="shared" si="28"/>
        <v>0</v>
      </c>
      <c r="H172">
        <f t="shared" si="29"/>
        <v>0</v>
      </c>
      <c r="I172">
        <f t="shared" si="30"/>
        <v>1</v>
      </c>
      <c r="J172">
        <f t="shared" si="31"/>
        <v>0</v>
      </c>
      <c r="K172">
        <f t="shared" si="32"/>
        <v>0</v>
      </c>
      <c r="L172">
        <f t="shared" si="33"/>
        <v>0</v>
      </c>
      <c r="M172">
        <f t="shared" si="34"/>
        <v>0</v>
      </c>
      <c r="N172">
        <f t="shared" si="35"/>
        <v>-1.6094379124341003</v>
      </c>
      <c r="O172">
        <f t="shared" si="36"/>
        <v>0</v>
      </c>
      <c r="P172">
        <f t="shared" si="37"/>
        <v>0</v>
      </c>
    </row>
    <row r="173" spans="1:16">
      <c r="A173">
        <v>919</v>
      </c>
      <c r="B173" s="7">
        <v>0.21</v>
      </c>
      <c r="C173" t="s">
        <v>45</v>
      </c>
      <c r="E173">
        <f t="shared" si="26"/>
        <v>6.8232861223556869</v>
      </c>
      <c r="F173" s="7">
        <f t="shared" si="27"/>
        <v>-1.5606477482646683</v>
      </c>
      <c r="G173">
        <f t="shared" si="28"/>
        <v>0</v>
      </c>
      <c r="H173">
        <f t="shared" si="29"/>
        <v>0</v>
      </c>
      <c r="I173">
        <f t="shared" si="30"/>
        <v>0</v>
      </c>
      <c r="J173">
        <f t="shared" si="31"/>
        <v>0</v>
      </c>
      <c r="K173">
        <f t="shared" si="32"/>
        <v>0</v>
      </c>
      <c r="L173">
        <f t="shared" si="33"/>
        <v>0</v>
      </c>
      <c r="M173">
        <f t="shared" si="34"/>
        <v>0</v>
      </c>
      <c r="N173">
        <f t="shared" si="35"/>
        <v>0</v>
      </c>
      <c r="O173">
        <f t="shared" si="36"/>
        <v>0</v>
      </c>
      <c r="P173">
        <f t="shared" si="37"/>
        <v>0</v>
      </c>
    </row>
    <row r="174" spans="1:16">
      <c r="A174">
        <v>1149</v>
      </c>
      <c r="B174" s="7">
        <v>0.21</v>
      </c>
      <c r="C174" t="s">
        <v>46</v>
      </c>
      <c r="E174">
        <f t="shared" si="26"/>
        <v>7.0466472778487557</v>
      </c>
      <c r="F174" s="7">
        <f t="shared" si="27"/>
        <v>-1.5606477482646683</v>
      </c>
      <c r="G174">
        <f t="shared" si="28"/>
        <v>1</v>
      </c>
      <c r="H174">
        <f t="shared" si="29"/>
        <v>0</v>
      </c>
      <c r="I174">
        <f t="shared" si="30"/>
        <v>0</v>
      </c>
      <c r="J174">
        <f t="shared" si="31"/>
        <v>0</v>
      </c>
      <c r="K174">
        <f t="shared" si="32"/>
        <v>0</v>
      </c>
      <c r="L174">
        <f t="shared" si="33"/>
        <v>-1.5606477482646683</v>
      </c>
      <c r="M174">
        <f t="shared" si="34"/>
        <v>0</v>
      </c>
      <c r="N174">
        <f t="shared" si="35"/>
        <v>0</v>
      </c>
      <c r="O174">
        <f t="shared" si="36"/>
        <v>0</v>
      </c>
      <c r="P174">
        <f t="shared" si="37"/>
        <v>0</v>
      </c>
    </row>
    <row r="175" spans="1:16">
      <c r="A175">
        <v>1057</v>
      </c>
      <c r="B175" s="7">
        <v>0.21</v>
      </c>
      <c r="C175" t="s">
        <v>3</v>
      </c>
      <c r="E175">
        <f t="shared" si="26"/>
        <v>6.9631899858702377</v>
      </c>
      <c r="F175" s="7">
        <f t="shared" si="27"/>
        <v>-1.5606477482646683</v>
      </c>
      <c r="G175">
        <f t="shared" si="28"/>
        <v>0</v>
      </c>
      <c r="H175">
        <f t="shared" si="29"/>
        <v>1</v>
      </c>
      <c r="I175">
        <f t="shared" si="30"/>
        <v>0</v>
      </c>
      <c r="J175">
        <f t="shared" si="31"/>
        <v>0</v>
      </c>
      <c r="K175">
        <f t="shared" si="32"/>
        <v>0</v>
      </c>
      <c r="L175">
        <f t="shared" si="33"/>
        <v>0</v>
      </c>
      <c r="M175">
        <f t="shared" si="34"/>
        <v>-1.5606477482646683</v>
      </c>
      <c r="N175">
        <f t="shared" si="35"/>
        <v>0</v>
      </c>
      <c r="O175">
        <f t="shared" si="36"/>
        <v>0</v>
      </c>
      <c r="P175">
        <f t="shared" si="37"/>
        <v>0</v>
      </c>
    </row>
    <row r="176" spans="1:16">
      <c r="A176">
        <v>919</v>
      </c>
      <c r="B176" s="7">
        <v>0.21</v>
      </c>
      <c r="C176" t="s">
        <v>47</v>
      </c>
      <c r="E176">
        <f t="shared" si="26"/>
        <v>6.8232861223556869</v>
      </c>
      <c r="F176" s="7">
        <f t="shared" si="27"/>
        <v>-1.5606477482646683</v>
      </c>
      <c r="G176">
        <f t="shared" si="28"/>
        <v>0</v>
      </c>
      <c r="H176">
        <f t="shared" si="29"/>
        <v>0</v>
      </c>
      <c r="I176">
        <f t="shared" si="30"/>
        <v>1</v>
      </c>
      <c r="J176">
        <f t="shared" si="31"/>
        <v>0</v>
      </c>
      <c r="K176">
        <f t="shared" si="32"/>
        <v>0</v>
      </c>
      <c r="L176">
        <f t="shared" si="33"/>
        <v>0</v>
      </c>
      <c r="M176">
        <f t="shared" si="34"/>
        <v>0</v>
      </c>
      <c r="N176">
        <f t="shared" si="35"/>
        <v>-1.5606477482646683</v>
      </c>
      <c r="O176">
        <f t="shared" si="36"/>
        <v>0</v>
      </c>
      <c r="P176">
        <f t="shared" si="37"/>
        <v>0</v>
      </c>
    </row>
    <row r="177" spans="1:16">
      <c r="A177">
        <v>1198</v>
      </c>
      <c r="B177" s="7">
        <v>0.22</v>
      </c>
      <c r="C177" t="s">
        <v>46</v>
      </c>
      <c r="E177">
        <f t="shared" si="26"/>
        <v>7.0884087786753947</v>
      </c>
      <c r="F177" s="7">
        <f t="shared" si="27"/>
        <v>-1.5141277326297755</v>
      </c>
      <c r="G177">
        <f t="shared" si="28"/>
        <v>1</v>
      </c>
      <c r="H177">
        <f t="shared" si="29"/>
        <v>0</v>
      </c>
      <c r="I177">
        <f t="shared" si="30"/>
        <v>0</v>
      </c>
      <c r="J177">
        <f t="shared" si="31"/>
        <v>0</v>
      </c>
      <c r="K177">
        <f t="shared" si="32"/>
        <v>0</v>
      </c>
      <c r="L177">
        <f t="shared" si="33"/>
        <v>-1.5141277326297755</v>
      </c>
      <c r="M177">
        <f t="shared" si="34"/>
        <v>0</v>
      </c>
      <c r="N177">
        <f t="shared" si="35"/>
        <v>0</v>
      </c>
      <c r="O177">
        <f t="shared" si="36"/>
        <v>0</v>
      </c>
      <c r="P177">
        <f t="shared" si="37"/>
        <v>0</v>
      </c>
    </row>
    <row r="178" spans="1:16">
      <c r="A178">
        <v>1248</v>
      </c>
      <c r="B178" s="7">
        <v>0.23</v>
      </c>
      <c r="C178" t="s">
        <v>46</v>
      </c>
      <c r="E178">
        <f t="shared" si="26"/>
        <v>7.1292975489293733</v>
      </c>
      <c r="F178" s="7">
        <f t="shared" si="27"/>
        <v>-1.4696759700589417</v>
      </c>
      <c r="G178">
        <f t="shared" si="28"/>
        <v>1</v>
      </c>
      <c r="H178">
        <f t="shared" si="29"/>
        <v>0</v>
      </c>
      <c r="I178">
        <f t="shared" si="30"/>
        <v>0</v>
      </c>
      <c r="J178">
        <f t="shared" si="31"/>
        <v>0</v>
      </c>
      <c r="K178">
        <f t="shared" si="32"/>
        <v>0</v>
      </c>
      <c r="L178">
        <f t="shared" si="33"/>
        <v>-1.4696759700589417</v>
      </c>
      <c r="M178">
        <f t="shared" si="34"/>
        <v>0</v>
      </c>
      <c r="N178">
        <f t="shared" si="35"/>
        <v>0</v>
      </c>
      <c r="O178">
        <f t="shared" si="36"/>
        <v>0</v>
      </c>
      <c r="P178">
        <f t="shared" si="37"/>
        <v>0</v>
      </c>
    </row>
    <row r="179" spans="1:16">
      <c r="A179">
        <v>1147</v>
      </c>
      <c r="B179" s="7">
        <v>0.23</v>
      </c>
      <c r="C179" t="s">
        <v>3</v>
      </c>
      <c r="E179">
        <f t="shared" si="26"/>
        <v>7.0449051171293711</v>
      </c>
      <c r="F179" s="7">
        <f t="shared" si="27"/>
        <v>-1.4696759700589417</v>
      </c>
      <c r="G179">
        <f t="shared" si="28"/>
        <v>0</v>
      </c>
      <c r="H179">
        <f t="shared" si="29"/>
        <v>1</v>
      </c>
      <c r="I179">
        <f t="shared" si="30"/>
        <v>0</v>
      </c>
      <c r="J179">
        <f t="shared" si="31"/>
        <v>0</v>
      </c>
      <c r="K179">
        <f t="shared" si="32"/>
        <v>0</v>
      </c>
      <c r="L179">
        <f t="shared" si="33"/>
        <v>0</v>
      </c>
      <c r="M179">
        <f t="shared" si="34"/>
        <v>-1.4696759700589417</v>
      </c>
      <c r="N179">
        <f t="shared" si="35"/>
        <v>0</v>
      </c>
      <c r="O179">
        <f t="shared" si="36"/>
        <v>0</v>
      </c>
      <c r="P179">
        <f t="shared" si="37"/>
        <v>0</v>
      </c>
    </row>
    <row r="180" spans="1:16">
      <c r="A180">
        <v>995</v>
      </c>
      <c r="B180" s="7">
        <v>0.23</v>
      </c>
      <c r="C180" t="s">
        <v>47</v>
      </c>
      <c r="E180">
        <f t="shared" si="26"/>
        <v>6.9027427371585928</v>
      </c>
      <c r="F180" s="7">
        <f t="shared" si="27"/>
        <v>-1.4696759700589417</v>
      </c>
      <c r="G180">
        <f t="shared" si="28"/>
        <v>0</v>
      </c>
      <c r="H180">
        <f t="shared" si="29"/>
        <v>0</v>
      </c>
      <c r="I180">
        <f t="shared" si="30"/>
        <v>1</v>
      </c>
      <c r="J180">
        <f t="shared" si="31"/>
        <v>0</v>
      </c>
      <c r="K180">
        <f t="shared" si="32"/>
        <v>0</v>
      </c>
      <c r="L180">
        <f t="shared" si="33"/>
        <v>0</v>
      </c>
      <c r="M180">
        <f t="shared" si="34"/>
        <v>0</v>
      </c>
      <c r="N180">
        <f t="shared" si="35"/>
        <v>-1.4696759700589417</v>
      </c>
      <c r="O180">
        <f t="shared" si="36"/>
        <v>0</v>
      </c>
      <c r="P180">
        <f t="shared" si="37"/>
        <v>0</v>
      </c>
    </row>
    <row r="181" spans="1:16">
      <c r="A181">
        <v>1108</v>
      </c>
      <c r="B181" s="7">
        <v>0.24</v>
      </c>
      <c r="C181" t="s">
        <v>48</v>
      </c>
      <c r="E181">
        <f t="shared" si="26"/>
        <v>7.0103118673072293</v>
      </c>
      <c r="F181" s="7">
        <f t="shared" si="27"/>
        <v>-1.4271163556401458</v>
      </c>
      <c r="G181">
        <f t="shared" si="28"/>
        <v>0</v>
      </c>
      <c r="H181">
        <f t="shared" si="29"/>
        <v>0</v>
      </c>
      <c r="I181">
        <f t="shared" si="30"/>
        <v>0</v>
      </c>
      <c r="J181">
        <f t="shared" si="31"/>
        <v>1</v>
      </c>
      <c r="K181">
        <f t="shared" si="32"/>
        <v>0</v>
      </c>
      <c r="L181">
        <f t="shared" si="33"/>
        <v>0</v>
      </c>
      <c r="M181">
        <f t="shared" si="34"/>
        <v>0</v>
      </c>
      <c r="N181">
        <f t="shared" si="35"/>
        <v>0</v>
      </c>
      <c r="O181">
        <f t="shared" si="36"/>
        <v>-1.4271163556401458</v>
      </c>
      <c r="P181">
        <f t="shared" si="37"/>
        <v>0</v>
      </c>
    </row>
    <row r="182" spans="1:16">
      <c r="A182">
        <v>1485</v>
      </c>
      <c r="B182" s="7">
        <v>0.25</v>
      </c>
      <c r="C182" t="s">
        <v>3</v>
      </c>
      <c r="E182">
        <f t="shared" si="26"/>
        <v>7.3031700512368003</v>
      </c>
      <c r="F182" s="7">
        <f t="shared" si="27"/>
        <v>-1.3862943611198906</v>
      </c>
      <c r="G182">
        <f t="shared" si="28"/>
        <v>0</v>
      </c>
      <c r="H182">
        <f t="shared" si="29"/>
        <v>1</v>
      </c>
      <c r="I182">
        <f t="shared" si="30"/>
        <v>0</v>
      </c>
      <c r="J182">
        <f t="shared" si="31"/>
        <v>0</v>
      </c>
      <c r="K182">
        <f t="shared" si="32"/>
        <v>0</v>
      </c>
      <c r="L182">
        <f t="shared" si="33"/>
        <v>0</v>
      </c>
      <c r="M182">
        <f t="shared" si="34"/>
        <v>-1.3862943611198906</v>
      </c>
      <c r="N182">
        <f t="shared" si="35"/>
        <v>0</v>
      </c>
      <c r="O182">
        <f t="shared" si="36"/>
        <v>0</v>
      </c>
      <c r="P182">
        <f t="shared" si="37"/>
        <v>0</v>
      </c>
    </row>
    <row r="183" spans="1:16">
      <c r="A183">
        <v>1283</v>
      </c>
      <c r="B183" s="7">
        <v>0.25</v>
      </c>
      <c r="C183" t="s">
        <v>47</v>
      </c>
      <c r="E183">
        <f t="shared" si="26"/>
        <v>7.1569563646156364</v>
      </c>
      <c r="F183" s="7">
        <f t="shared" si="27"/>
        <v>-1.3862943611198906</v>
      </c>
      <c r="G183">
        <f t="shared" si="28"/>
        <v>0</v>
      </c>
      <c r="H183">
        <f t="shared" si="29"/>
        <v>0</v>
      </c>
      <c r="I183">
        <f t="shared" si="30"/>
        <v>1</v>
      </c>
      <c r="J183">
        <f t="shared" si="31"/>
        <v>0</v>
      </c>
      <c r="K183">
        <f t="shared" si="32"/>
        <v>0</v>
      </c>
      <c r="L183">
        <f t="shared" si="33"/>
        <v>0</v>
      </c>
      <c r="M183">
        <f t="shared" si="34"/>
        <v>0</v>
      </c>
      <c r="N183">
        <f t="shared" si="35"/>
        <v>-1.3862943611198906</v>
      </c>
      <c r="O183">
        <f t="shared" si="36"/>
        <v>0</v>
      </c>
      <c r="P183">
        <f t="shared" si="37"/>
        <v>0</v>
      </c>
    </row>
    <row r="184" spans="1:16">
      <c r="A184">
        <v>1149</v>
      </c>
      <c r="B184" s="7">
        <v>0.25</v>
      </c>
      <c r="C184" t="s">
        <v>48</v>
      </c>
      <c r="E184">
        <f t="shared" si="26"/>
        <v>7.0466472778487557</v>
      </c>
      <c r="F184" s="7">
        <f t="shared" si="27"/>
        <v>-1.3862943611198906</v>
      </c>
      <c r="G184">
        <f t="shared" si="28"/>
        <v>0</v>
      </c>
      <c r="H184">
        <f t="shared" si="29"/>
        <v>0</v>
      </c>
      <c r="I184">
        <f t="shared" si="30"/>
        <v>0</v>
      </c>
      <c r="J184">
        <f t="shared" si="31"/>
        <v>1</v>
      </c>
      <c r="K184">
        <f t="shared" si="32"/>
        <v>0</v>
      </c>
      <c r="L184">
        <f t="shared" si="33"/>
        <v>0</v>
      </c>
      <c r="M184">
        <f t="shared" si="34"/>
        <v>0</v>
      </c>
      <c r="N184">
        <f t="shared" si="35"/>
        <v>0</v>
      </c>
      <c r="O184">
        <f t="shared" si="36"/>
        <v>-1.3862943611198906</v>
      </c>
      <c r="P184">
        <f t="shared" si="37"/>
        <v>0</v>
      </c>
    </row>
    <row r="185" spans="1:16">
      <c r="A185">
        <v>1082</v>
      </c>
      <c r="B185" s="7">
        <v>0.25</v>
      </c>
      <c r="C185" t="s">
        <v>49</v>
      </c>
      <c r="E185">
        <f t="shared" si="26"/>
        <v>6.9865664594064265</v>
      </c>
      <c r="F185" s="7">
        <f t="shared" si="27"/>
        <v>-1.3862943611198906</v>
      </c>
      <c r="G185">
        <f t="shared" si="28"/>
        <v>0</v>
      </c>
      <c r="H185">
        <f t="shared" si="29"/>
        <v>0</v>
      </c>
      <c r="I185">
        <f t="shared" si="30"/>
        <v>0</v>
      </c>
      <c r="J185">
        <f t="shared" si="31"/>
        <v>0</v>
      </c>
      <c r="K185">
        <f t="shared" si="32"/>
        <v>1</v>
      </c>
      <c r="L185">
        <f t="shared" si="33"/>
        <v>0</v>
      </c>
      <c r="M185">
        <f t="shared" si="34"/>
        <v>0</v>
      </c>
      <c r="N185">
        <f t="shared" si="35"/>
        <v>0</v>
      </c>
      <c r="O185">
        <f t="shared" si="36"/>
        <v>0</v>
      </c>
      <c r="P185">
        <f t="shared" si="37"/>
        <v>-1.3862943611198906</v>
      </c>
    </row>
    <row r="186" spans="1:16">
      <c r="A186">
        <v>1539</v>
      </c>
      <c r="B186" s="7">
        <v>0.26</v>
      </c>
      <c r="C186" t="s">
        <v>3</v>
      </c>
      <c r="E186">
        <f t="shared" si="26"/>
        <v>7.3388881338388794</v>
      </c>
      <c r="F186" s="7">
        <f t="shared" si="27"/>
        <v>-1.3470736479666092</v>
      </c>
      <c r="G186">
        <f t="shared" si="28"/>
        <v>0</v>
      </c>
      <c r="H186">
        <f t="shared" si="29"/>
        <v>1</v>
      </c>
      <c r="I186">
        <f t="shared" si="30"/>
        <v>0</v>
      </c>
      <c r="J186">
        <f t="shared" si="31"/>
        <v>0</v>
      </c>
      <c r="K186">
        <f t="shared" si="32"/>
        <v>0</v>
      </c>
      <c r="L186">
        <f t="shared" si="33"/>
        <v>0</v>
      </c>
      <c r="M186">
        <f t="shared" si="34"/>
        <v>-1.3470736479666092</v>
      </c>
      <c r="N186">
        <f t="shared" si="35"/>
        <v>0</v>
      </c>
      <c r="O186">
        <f t="shared" si="36"/>
        <v>0</v>
      </c>
      <c r="P186">
        <f t="shared" si="37"/>
        <v>0</v>
      </c>
    </row>
    <row r="187" spans="1:16">
      <c r="A187">
        <v>1365</v>
      </c>
      <c r="B187" s="7">
        <v>0.26</v>
      </c>
      <c r="C187" t="s">
        <v>3</v>
      </c>
      <c r="E187">
        <f t="shared" si="26"/>
        <v>7.2189097076190603</v>
      </c>
      <c r="F187" s="7">
        <f t="shared" si="27"/>
        <v>-1.3470736479666092</v>
      </c>
      <c r="G187">
        <f t="shared" si="28"/>
        <v>0</v>
      </c>
      <c r="H187">
        <f t="shared" si="29"/>
        <v>1</v>
      </c>
      <c r="I187">
        <f t="shared" si="30"/>
        <v>0</v>
      </c>
      <c r="J187">
        <f t="shared" si="31"/>
        <v>0</v>
      </c>
      <c r="K187">
        <f t="shared" si="32"/>
        <v>0</v>
      </c>
      <c r="L187">
        <f t="shared" si="33"/>
        <v>0</v>
      </c>
      <c r="M187">
        <f t="shared" si="34"/>
        <v>-1.3470736479666092</v>
      </c>
      <c r="N187">
        <f t="shared" si="35"/>
        <v>0</v>
      </c>
      <c r="O187">
        <f t="shared" si="36"/>
        <v>0</v>
      </c>
      <c r="P187">
        <f t="shared" si="37"/>
        <v>0</v>
      </c>
    </row>
    <row r="188" spans="1:16">
      <c r="A188">
        <v>1260</v>
      </c>
      <c r="B188" s="7">
        <v>0.26</v>
      </c>
      <c r="C188" t="s">
        <v>3</v>
      </c>
      <c r="E188">
        <f t="shared" si="26"/>
        <v>7.1388669999455239</v>
      </c>
      <c r="F188" s="7">
        <f t="shared" si="27"/>
        <v>-1.3470736479666092</v>
      </c>
      <c r="G188">
        <f t="shared" si="28"/>
        <v>0</v>
      </c>
      <c r="H188">
        <f t="shared" si="29"/>
        <v>1</v>
      </c>
      <c r="I188">
        <f t="shared" si="30"/>
        <v>0</v>
      </c>
      <c r="J188">
        <f t="shared" si="31"/>
        <v>0</v>
      </c>
      <c r="K188">
        <f t="shared" si="32"/>
        <v>0</v>
      </c>
      <c r="L188">
        <f t="shared" si="33"/>
        <v>0</v>
      </c>
      <c r="M188">
        <f t="shared" si="34"/>
        <v>-1.3470736479666092</v>
      </c>
      <c r="N188">
        <f t="shared" si="35"/>
        <v>0</v>
      </c>
      <c r="O188">
        <f t="shared" si="36"/>
        <v>0</v>
      </c>
      <c r="P188">
        <f t="shared" si="37"/>
        <v>0</v>
      </c>
    </row>
    <row r="189" spans="1:16">
      <c r="A189">
        <v>1121</v>
      </c>
      <c r="B189" s="7">
        <v>0.26</v>
      </c>
      <c r="C189" t="s">
        <v>49</v>
      </c>
      <c r="E189">
        <f t="shared" si="26"/>
        <v>7.02197642307216</v>
      </c>
      <c r="F189" s="7">
        <f t="shared" si="27"/>
        <v>-1.3470736479666092</v>
      </c>
      <c r="G189">
        <f t="shared" si="28"/>
        <v>0</v>
      </c>
      <c r="H189">
        <f t="shared" si="29"/>
        <v>0</v>
      </c>
      <c r="I189">
        <f t="shared" si="30"/>
        <v>0</v>
      </c>
      <c r="J189">
        <f t="shared" si="31"/>
        <v>0</v>
      </c>
      <c r="K189">
        <f t="shared" si="32"/>
        <v>1</v>
      </c>
      <c r="L189">
        <f t="shared" si="33"/>
        <v>0</v>
      </c>
      <c r="M189">
        <f t="shared" si="34"/>
        <v>0</v>
      </c>
      <c r="N189">
        <f t="shared" si="35"/>
        <v>0</v>
      </c>
      <c r="O189">
        <f t="shared" si="36"/>
        <v>0</v>
      </c>
      <c r="P189">
        <f t="shared" si="37"/>
        <v>-1.3470736479666092</v>
      </c>
    </row>
    <row r="190" spans="1:16">
      <c r="A190">
        <v>1595</v>
      </c>
      <c r="B190" s="7">
        <v>0.27</v>
      </c>
      <c r="C190" t="s">
        <v>3</v>
      </c>
      <c r="E190">
        <f t="shared" si="26"/>
        <v>7.3746290152189449</v>
      </c>
      <c r="F190" s="7">
        <f t="shared" si="27"/>
        <v>-1.3093333199837622</v>
      </c>
      <c r="G190">
        <f t="shared" si="28"/>
        <v>0</v>
      </c>
      <c r="H190">
        <f t="shared" si="29"/>
        <v>1</v>
      </c>
      <c r="I190">
        <f t="shared" si="30"/>
        <v>0</v>
      </c>
      <c r="J190">
        <f t="shared" si="31"/>
        <v>0</v>
      </c>
      <c r="K190">
        <f t="shared" si="32"/>
        <v>0</v>
      </c>
      <c r="L190">
        <f t="shared" si="33"/>
        <v>0</v>
      </c>
      <c r="M190">
        <f t="shared" si="34"/>
        <v>-1.3093333199837622</v>
      </c>
      <c r="N190">
        <f t="shared" si="35"/>
        <v>0</v>
      </c>
      <c r="O190">
        <f t="shared" si="36"/>
        <v>0</v>
      </c>
      <c r="P190">
        <f t="shared" si="37"/>
        <v>0</v>
      </c>
    </row>
    <row r="191" spans="1:16">
      <c r="A191">
        <v>1233</v>
      </c>
      <c r="B191" s="7">
        <v>0.27</v>
      </c>
      <c r="C191" t="s">
        <v>48</v>
      </c>
      <c r="E191">
        <f t="shared" si="26"/>
        <v>7.1172055031643442</v>
      </c>
      <c r="F191" s="7">
        <f t="shared" si="27"/>
        <v>-1.3093333199837622</v>
      </c>
      <c r="G191">
        <f t="shared" si="28"/>
        <v>0</v>
      </c>
      <c r="H191">
        <f t="shared" si="29"/>
        <v>0</v>
      </c>
      <c r="I191">
        <f t="shared" si="30"/>
        <v>0</v>
      </c>
      <c r="J191">
        <f t="shared" si="31"/>
        <v>1</v>
      </c>
      <c r="K191">
        <f t="shared" si="32"/>
        <v>0</v>
      </c>
      <c r="L191">
        <f t="shared" si="33"/>
        <v>0</v>
      </c>
      <c r="M191">
        <f t="shared" si="34"/>
        <v>0</v>
      </c>
      <c r="N191">
        <f t="shared" si="35"/>
        <v>0</v>
      </c>
      <c r="O191">
        <f t="shared" si="36"/>
        <v>-1.3093333199837622</v>
      </c>
      <c r="P191">
        <f t="shared" si="37"/>
        <v>0</v>
      </c>
    </row>
    <row r="192" spans="1:16">
      <c r="A192">
        <v>1199</v>
      </c>
      <c r="B192" s="7">
        <v>0.28000000000000003</v>
      </c>
      <c r="C192" t="s">
        <v>49</v>
      </c>
      <c r="E192">
        <f t="shared" si="26"/>
        <v>7.0892431550275141</v>
      </c>
      <c r="F192" s="7">
        <f t="shared" si="27"/>
        <v>-1.2729656758128873</v>
      </c>
      <c r="G192">
        <f t="shared" si="28"/>
        <v>0</v>
      </c>
      <c r="H192">
        <f t="shared" si="29"/>
        <v>0</v>
      </c>
      <c r="I192">
        <f t="shared" si="30"/>
        <v>0</v>
      </c>
      <c r="J192">
        <f t="shared" si="31"/>
        <v>0</v>
      </c>
      <c r="K192">
        <f t="shared" si="32"/>
        <v>1</v>
      </c>
      <c r="L192">
        <f t="shared" si="33"/>
        <v>0</v>
      </c>
      <c r="M192">
        <f t="shared" si="34"/>
        <v>0</v>
      </c>
      <c r="N192">
        <f t="shared" si="35"/>
        <v>0</v>
      </c>
      <c r="O192">
        <f t="shared" si="36"/>
        <v>0</v>
      </c>
      <c r="P192">
        <f t="shared" si="37"/>
        <v>-1.2729656758128873</v>
      </c>
    </row>
    <row r="193" spans="1:16">
      <c r="A193">
        <v>1471</v>
      </c>
      <c r="B193" s="7">
        <v>0.28999999999999998</v>
      </c>
      <c r="C193" t="s">
        <v>47</v>
      </c>
      <c r="E193">
        <f t="shared" si="26"/>
        <v>7.293697720601438</v>
      </c>
      <c r="F193" s="7">
        <f t="shared" si="27"/>
        <v>-1.2378743560016174</v>
      </c>
      <c r="G193">
        <f t="shared" si="28"/>
        <v>0</v>
      </c>
      <c r="H193">
        <f t="shared" si="29"/>
        <v>0</v>
      </c>
      <c r="I193">
        <f t="shared" si="30"/>
        <v>1</v>
      </c>
      <c r="J193">
        <f t="shared" si="31"/>
        <v>0</v>
      </c>
      <c r="K193">
        <f t="shared" si="32"/>
        <v>0</v>
      </c>
      <c r="L193">
        <f t="shared" si="33"/>
        <v>0</v>
      </c>
      <c r="M193">
        <f t="shared" si="34"/>
        <v>0</v>
      </c>
      <c r="N193">
        <f t="shared" si="35"/>
        <v>-1.2378743560016174</v>
      </c>
      <c r="O193">
        <f t="shared" si="36"/>
        <v>0</v>
      </c>
      <c r="P193">
        <f t="shared" si="37"/>
        <v>0</v>
      </c>
    </row>
    <row r="194" spans="1:16">
      <c r="A194">
        <v>1238</v>
      </c>
      <c r="B194" s="7">
        <v>0.28999999999999998</v>
      </c>
      <c r="C194" t="s">
        <v>49</v>
      </c>
      <c r="E194">
        <f t="shared" si="26"/>
        <v>7.1212524532445416</v>
      </c>
      <c r="F194" s="7">
        <f t="shared" si="27"/>
        <v>-1.2378743560016174</v>
      </c>
      <c r="G194">
        <f t="shared" si="28"/>
        <v>0</v>
      </c>
      <c r="H194">
        <f t="shared" si="29"/>
        <v>0</v>
      </c>
      <c r="I194">
        <f t="shared" si="30"/>
        <v>0</v>
      </c>
      <c r="J194">
        <f t="shared" si="31"/>
        <v>0</v>
      </c>
      <c r="K194">
        <f t="shared" si="32"/>
        <v>1</v>
      </c>
      <c r="L194">
        <f t="shared" si="33"/>
        <v>0</v>
      </c>
      <c r="M194">
        <f t="shared" si="34"/>
        <v>0</v>
      </c>
      <c r="N194">
        <f t="shared" si="35"/>
        <v>0</v>
      </c>
      <c r="O194">
        <f t="shared" si="36"/>
        <v>0</v>
      </c>
      <c r="P194">
        <f t="shared" si="37"/>
        <v>-1.2378743560016174</v>
      </c>
    </row>
    <row r="195" spans="1:16">
      <c r="A195">
        <v>1580</v>
      </c>
      <c r="B195" s="7">
        <v>0.3</v>
      </c>
      <c r="C195" t="s">
        <v>46</v>
      </c>
      <c r="E195">
        <f t="shared" si="26"/>
        <v>7.3651801260210128</v>
      </c>
      <c r="F195" s="7">
        <f t="shared" si="27"/>
        <v>-1.2039728043259361</v>
      </c>
      <c r="G195">
        <f t="shared" si="28"/>
        <v>1</v>
      </c>
      <c r="H195">
        <f t="shared" si="29"/>
        <v>0</v>
      </c>
      <c r="I195">
        <f t="shared" si="30"/>
        <v>0</v>
      </c>
      <c r="J195">
        <f t="shared" si="31"/>
        <v>0</v>
      </c>
      <c r="K195">
        <f t="shared" si="32"/>
        <v>0</v>
      </c>
      <c r="L195">
        <f t="shared" si="33"/>
        <v>-1.2039728043259361</v>
      </c>
      <c r="M195">
        <f t="shared" si="34"/>
        <v>0</v>
      </c>
      <c r="N195">
        <f t="shared" si="35"/>
        <v>0</v>
      </c>
      <c r="O195">
        <f t="shared" si="36"/>
        <v>0</v>
      </c>
      <c r="P195">
        <f t="shared" si="37"/>
        <v>0</v>
      </c>
    </row>
    <row r="196" spans="1:16">
      <c r="A196">
        <v>1459</v>
      </c>
      <c r="B196" s="7">
        <v>0.3</v>
      </c>
      <c r="C196" t="s">
        <v>3</v>
      </c>
      <c r="E196">
        <f t="shared" si="26"/>
        <v>7.2855065485227852</v>
      </c>
      <c r="F196" s="7">
        <f t="shared" si="27"/>
        <v>-1.2039728043259361</v>
      </c>
      <c r="G196">
        <f t="shared" si="28"/>
        <v>0</v>
      </c>
      <c r="H196">
        <f t="shared" si="29"/>
        <v>1</v>
      </c>
      <c r="I196">
        <f t="shared" si="30"/>
        <v>0</v>
      </c>
      <c r="J196">
        <f t="shared" si="31"/>
        <v>0</v>
      </c>
      <c r="K196">
        <f t="shared" si="32"/>
        <v>0</v>
      </c>
      <c r="L196">
        <f t="shared" si="33"/>
        <v>0</v>
      </c>
      <c r="M196">
        <f t="shared" si="34"/>
        <v>-1.2039728043259361</v>
      </c>
      <c r="N196">
        <f t="shared" si="35"/>
        <v>0</v>
      </c>
      <c r="O196">
        <f t="shared" si="36"/>
        <v>0</v>
      </c>
      <c r="P196">
        <f t="shared" si="37"/>
        <v>0</v>
      </c>
    </row>
    <row r="197" spans="1:16">
      <c r="A197">
        <v>1459</v>
      </c>
      <c r="B197" s="7">
        <v>0.3</v>
      </c>
      <c r="C197" t="s">
        <v>47</v>
      </c>
      <c r="E197">
        <f t="shared" ref="E197:E260" si="38">LN(A197)</f>
        <v>7.2855065485227852</v>
      </c>
      <c r="F197" s="7">
        <f t="shared" ref="F197:F260" si="39">LN(B197)</f>
        <v>-1.2039728043259361</v>
      </c>
      <c r="G197">
        <f t="shared" ref="G197:G260" si="40">IF($C197="E",1,0)</f>
        <v>0</v>
      </c>
      <c r="H197">
        <f t="shared" ref="H197:H260" si="41">IF($C197="F",1,0)</f>
        <v>0</v>
      </c>
      <c r="I197">
        <f t="shared" ref="I197:I260" si="42">IF($C197="G",1,0)</f>
        <v>1</v>
      </c>
      <c r="J197">
        <f t="shared" ref="J197:J260" si="43">IF($C197="H",1,0)</f>
        <v>0</v>
      </c>
      <c r="K197">
        <f t="shared" ref="K197:K260" si="44">IF($C197="I",1,0)</f>
        <v>0</v>
      </c>
      <c r="L197">
        <f t="shared" ref="L197:L260" si="45">$F197*G197</f>
        <v>0</v>
      </c>
      <c r="M197">
        <f t="shared" ref="M197:M260" si="46">$F197*H197</f>
        <v>0</v>
      </c>
      <c r="N197">
        <f t="shared" ref="N197:N260" si="47">$F197*I197</f>
        <v>-1.2039728043259361</v>
      </c>
      <c r="O197">
        <f t="shared" ref="O197:O260" si="48">$F197*J197</f>
        <v>0</v>
      </c>
      <c r="P197">
        <f t="shared" ref="P197:P260" si="49">$F197*K197</f>
        <v>0</v>
      </c>
    </row>
    <row r="198" spans="1:16">
      <c r="A198">
        <v>1218</v>
      </c>
      <c r="B198" s="7">
        <v>0.3</v>
      </c>
      <c r="C198" t="s">
        <v>48</v>
      </c>
      <c r="E198">
        <f t="shared" si="38"/>
        <v>7.1049654482698426</v>
      </c>
      <c r="F198" s="7">
        <f t="shared" si="39"/>
        <v>-1.2039728043259361</v>
      </c>
      <c r="G198">
        <f t="shared" si="40"/>
        <v>0</v>
      </c>
      <c r="H198">
        <f t="shared" si="41"/>
        <v>0</v>
      </c>
      <c r="I198">
        <f t="shared" si="42"/>
        <v>0</v>
      </c>
      <c r="J198">
        <f t="shared" si="43"/>
        <v>1</v>
      </c>
      <c r="K198">
        <f t="shared" si="44"/>
        <v>0</v>
      </c>
      <c r="L198">
        <f t="shared" si="45"/>
        <v>0</v>
      </c>
      <c r="M198">
        <f t="shared" si="46"/>
        <v>0</v>
      </c>
      <c r="N198">
        <f t="shared" si="47"/>
        <v>0</v>
      </c>
      <c r="O198">
        <f t="shared" si="48"/>
        <v>-1.2039728043259361</v>
      </c>
      <c r="P198">
        <f t="shared" si="49"/>
        <v>0</v>
      </c>
    </row>
    <row r="199" spans="1:16">
      <c r="A199">
        <v>1299</v>
      </c>
      <c r="B199" s="7">
        <v>0.3</v>
      </c>
      <c r="C199" t="s">
        <v>49</v>
      </c>
      <c r="E199">
        <f t="shared" si="38"/>
        <v>7.1693500166705997</v>
      </c>
      <c r="F199" s="7">
        <f t="shared" si="39"/>
        <v>-1.2039728043259361</v>
      </c>
      <c r="G199">
        <f t="shared" si="40"/>
        <v>0</v>
      </c>
      <c r="H199">
        <f t="shared" si="41"/>
        <v>0</v>
      </c>
      <c r="I199">
        <f t="shared" si="42"/>
        <v>0</v>
      </c>
      <c r="J199">
        <f t="shared" si="43"/>
        <v>0</v>
      </c>
      <c r="K199">
        <f t="shared" si="44"/>
        <v>1</v>
      </c>
      <c r="L199">
        <f t="shared" si="45"/>
        <v>0</v>
      </c>
      <c r="M199">
        <f t="shared" si="46"/>
        <v>0</v>
      </c>
      <c r="N199">
        <f t="shared" si="47"/>
        <v>0</v>
      </c>
      <c r="O199">
        <f t="shared" si="48"/>
        <v>0</v>
      </c>
      <c r="P199">
        <f t="shared" si="49"/>
        <v>-1.2039728043259361</v>
      </c>
    </row>
    <row r="200" spans="1:16">
      <c r="A200">
        <v>1628</v>
      </c>
      <c r="B200" s="7">
        <v>0.31</v>
      </c>
      <c r="C200" t="s">
        <v>46</v>
      </c>
      <c r="E200">
        <f t="shared" si="38"/>
        <v>7.3951075465624854</v>
      </c>
      <c r="F200" s="7">
        <f t="shared" si="39"/>
        <v>-1.1711829815029451</v>
      </c>
      <c r="G200">
        <f t="shared" si="40"/>
        <v>1</v>
      </c>
      <c r="H200">
        <f t="shared" si="41"/>
        <v>0</v>
      </c>
      <c r="I200">
        <f t="shared" si="42"/>
        <v>0</v>
      </c>
      <c r="J200">
        <f t="shared" si="43"/>
        <v>0</v>
      </c>
      <c r="K200">
        <f t="shared" si="44"/>
        <v>0</v>
      </c>
      <c r="L200">
        <f t="shared" si="45"/>
        <v>-1.1711829815029451</v>
      </c>
      <c r="M200">
        <f t="shared" si="46"/>
        <v>0</v>
      </c>
      <c r="N200">
        <f t="shared" si="47"/>
        <v>0</v>
      </c>
      <c r="O200">
        <f t="shared" si="48"/>
        <v>0</v>
      </c>
      <c r="P200">
        <f t="shared" si="49"/>
        <v>0</v>
      </c>
    </row>
    <row r="201" spans="1:16">
      <c r="A201">
        <v>1628</v>
      </c>
      <c r="B201" s="7">
        <v>0.31</v>
      </c>
      <c r="C201" t="s">
        <v>3</v>
      </c>
      <c r="E201">
        <f t="shared" si="38"/>
        <v>7.3951075465624854</v>
      </c>
      <c r="F201" s="7">
        <f t="shared" si="39"/>
        <v>-1.1711829815029451</v>
      </c>
      <c r="G201">
        <f t="shared" si="40"/>
        <v>0</v>
      </c>
      <c r="H201">
        <f t="shared" si="41"/>
        <v>1</v>
      </c>
      <c r="I201">
        <f t="shared" si="42"/>
        <v>0</v>
      </c>
      <c r="J201">
        <f t="shared" si="43"/>
        <v>0</v>
      </c>
      <c r="K201">
        <f t="shared" si="44"/>
        <v>0</v>
      </c>
      <c r="L201">
        <f t="shared" si="45"/>
        <v>0</v>
      </c>
      <c r="M201">
        <f t="shared" si="46"/>
        <v>-1.1711829815029451</v>
      </c>
      <c r="N201">
        <f t="shared" si="47"/>
        <v>0</v>
      </c>
      <c r="O201">
        <f t="shared" si="48"/>
        <v>0</v>
      </c>
      <c r="P201">
        <f t="shared" si="49"/>
        <v>0</v>
      </c>
    </row>
    <row r="202" spans="1:16">
      <c r="A202">
        <v>1337</v>
      </c>
      <c r="B202" s="7">
        <v>0.31</v>
      </c>
      <c r="C202" t="s">
        <v>49</v>
      </c>
      <c r="E202">
        <f t="shared" si="38"/>
        <v>7.1981835771019433</v>
      </c>
      <c r="F202" s="7">
        <f t="shared" si="39"/>
        <v>-1.1711829815029451</v>
      </c>
      <c r="G202">
        <f t="shared" si="40"/>
        <v>0</v>
      </c>
      <c r="H202">
        <f t="shared" si="41"/>
        <v>0</v>
      </c>
      <c r="I202">
        <f t="shared" si="42"/>
        <v>0</v>
      </c>
      <c r="J202">
        <f t="shared" si="43"/>
        <v>0</v>
      </c>
      <c r="K202">
        <f t="shared" si="44"/>
        <v>1</v>
      </c>
      <c r="L202">
        <f t="shared" si="45"/>
        <v>0</v>
      </c>
      <c r="M202">
        <f t="shared" si="46"/>
        <v>0</v>
      </c>
      <c r="N202">
        <f t="shared" si="47"/>
        <v>0</v>
      </c>
      <c r="O202">
        <f t="shared" si="48"/>
        <v>0</v>
      </c>
      <c r="P202">
        <f t="shared" si="49"/>
        <v>-1.1711829815029451</v>
      </c>
    </row>
    <row r="203" spans="1:16">
      <c r="A203">
        <v>1462</v>
      </c>
      <c r="B203" s="7">
        <v>0.32</v>
      </c>
      <c r="C203" t="s">
        <v>48</v>
      </c>
      <c r="E203">
        <f t="shared" si="38"/>
        <v>7.2875606403097235</v>
      </c>
      <c r="F203" s="7">
        <f t="shared" si="39"/>
        <v>-1.1394342831883648</v>
      </c>
      <c r="G203">
        <f t="shared" si="40"/>
        <v>0</v>
      </c>
      <c r="H203">
        <f t="shared" si="41"/>
        <v>0</v>
      </c>
      <c r="I203">
        <f t="shared" si="42"/>
        <v>0</v>
      </c>
      <c r="J203">
        <f t="shared" si="43"/>
        <v>1</v>
      </c>
      <c r="K203">
        <f t="shared" si="44"/>
        <v>0</v>
      </c>
      <c r="L203">
        <f t="shared" si="45"/>
        <v>0</v>
      </c>
      <c r="M203">
        <f t="shared" si="46"/>
        <v>0</v>
      </c>
      <c r="N203">
        <f t="shared" si="47"/>
        <v>0</v>
      </c>
      <c r="O203">
        <f t="shared" si="48"/>
        <v>-1.1394342831883648</v>
      </c>
      <c r="P203">
        <f t="shared" si="49"/>
        <v>0</v>
      </c>
    </row>
    <row r="204" spans="1:16">
      <c r="A204">
        <v>1503</v>
      </c>
      <c r="B204" s="7">
        <v>0.33</v>
      </c>
      <c r="C204" t="s">
        <v>48</v>
      </c>
      <c r="E204">
        <f t="shared" si="38"/>
        <v>7.3152183897529746</v>
      </c>
      <c r="F204" s="7">
        <f t="shared" si="39"/>
        <v>-1.1086626245216111</v>
      </c>
      <c r="G204">
        <f t="shared" si="40"/>
        <v>0</v>
      </c>
      <c r="H204">
        <f t="shared" si="41"/>
        <v>0</v>
      </c>
      <c r="I204">
        <f t="shared" si="42"/>
        <v>0</v>
      </c>
      <c r="J204">
        <f t="shared" si="43"/>
        <v>1</v>
      </c>
      <c r="K204">
        <f t="shared" si="44"/>
        <v>0</v>
      </c>
      <c r="L204">
        <f t="shared" si="45"/>
        <v>0</v>
      </c>
      <c r="M204">
        <f t="shared" si="46"/>
        <v>0</v>
      </c>
      <c r="N204">
        <f t="shared" si="47"/>
        <v>0</v>
      </c>
      <c r="O204">
        <f t="shared" si="48"/>
        <v>-1.1086626245216111</v>
      </c>
      <c r="P204">
        <f t="shared" si="49"/>
        <v>0</v>
      </c>
    </row>
    <row r="205" spans="1:16">
      <c r="A205">
        <v>1773</v>
      </c>
      <c r="B205" s="7">
        <v>0.34</v>
      </c>
      <c r="C205" t="s">
        <v>3</v>
      </c>
      <c r="E205">
        <f t="shared" si="38"/>
        <v>7.4804283060742076</v>
      </c>
      <c r="F205" s="7">
        <f t="shared" si="39"/>
        <v>-1.0788096613719298</v>
      </c>
      <c r="G205">
        <f t="shared" si="40"/>
        <v>0</v>
      </c>
      <c r="H205">
        <f t="shared" si="41"/>
        <v>1</v>
      </c>
      <c r="I205">
        <f t="shared" si="42"/>
        <v>0</v>
      </c>
      <c r="J205">
        <f t="shared" si="43"/>
        <v>0</v>
      </c>
      <c r="K205">
        <f t="shared" si="44"/>
        <v>0</v>
      </c>
      <c r="L205">
        <f t="shared" si="45"/>
        <v>0</v>
      </c>
      <c r="M205">
        <f t="shared" si="46"/>
        <v>-1.0788096613719298</v>
      </c>
      <c r="N205">
        <f t="shared" si="47"/>
        <v>0</v>
      </c>
      <c r="O205">
        <f t="shared" si="48"/>
        <v>0</v>
      </c>
      <c r="P205">
        <f t="shared" si="49"/>
        <v>0</v>
      </c>
    </row>
    <row r="206" spans="1:16">
      <c r="A206">
        <v>1636</v>
      </c>
      <c r="B206" s="7">
        <v>0.34</v>
      </c>
      <c r="C206" t="s">
        <v>3</v>
      </c>
      <c r="E206">
        <f t="shared" si="38"/>
        <v>7.4000095171626921</v>
      </c>
      <c r="F206" s="7">
        <f t="shared" si="39"/>
        <v>-1.0788096613719298</v>
      </c>
      <c r="G206">
        <f t="shared" si="40"/>
        <v>0</v>
      </c>
      <c r="H206">
        <f t="shared" si="41"/>
        <v>1</v>
      </c>
      <c r="I206">
        <f t="shared" si="42"/>
        <v>0</v>
      </c>
      <c r="J206">
        <f t="shared" si="43"/>
        <v>0</v>
      </c>
      <c r="K206">
        <f t="shared" si="44"/>
        <v>0</v>
      </c>
      <c r="L206">
        <f t="shared" si="45"/>
        <v>0</v>
      </c>
      <c r="M206">
        <f t="shared" si="46"/>
        <v>-1.0788096613719298</v>
      </c>
      <c r="N206">
        <f t="shared" si="47"/>
        <v>0</v>
      </c>
      <c r="O206">
        <f t="shared" si="48"/>
        <v>0</v>
      </c>
      <c r="P206">
        <f t="shared" si="49"/>
        <v>0</v>
      </c>
    </row>
    <row r="207" spans="1:16">
      <c r="A207">
        <v>1821</v>
      </c>
      <c r="B207" s="7">
        <v>0.35</v>
      </c>
      <c r="C207" t="s">
        <v>3</v>
      </c>
      <c r="E207">
        <f t="shared" si="38"/>
        <v>7.5071410797276084</v>
      </c>
      <c r="F207" s="7">
        <f t="shared" si="39"/>
        <v>-1.0498221244986778</v>
      </c>
      <c r="G207">
        <f t="shared" si="40"/>
        <v>0</v>
      </c>
      <c r="H207">
        <f t="shared" si="41"/>
        <v>1</v>
      </c>
      <c r="I207">
        <f t="shared" si="42"/>
        <v>0</v>
      </c>
      <c r="J207">
        <f t="shared" si="43"/>
        <v>0</v>
      </c>
      <c r="K207">
        <f t="shared" si="44"/>
        <v>0</v>
      </c>
      <c r="L207">
        <f t="shared" si="45"/>
        <v>0</v>
      </c>
      <c r="M207">
        <f t="shared" si="46"/>
        <v>-1.0498221244986778</v>
      </c>
      <c r="N207">
        <f t="shared" si="47"/>
        <v>0</v>
      </c>
      <c r="O207">
        <f t="shared" si="48"/>
        <v>0</v>
      </c>
      <c r="P207">
        <f t="shared" si="49"/>
        <v>0</v>
      </c>
    </row>
    <row r="208" spans="1:16">
      <c r="A208">
        <v>1540</v>
      </c>
      <c r="B208" s="7">
        <v>0.35</v>
      </c>
      <c r="C208" t="s">
        <v>47</v>
      </c>
      <c r="E208">
        <f t="shared" si="38"/>
        <v>7.3395376954076745</v>
      </c>
      <c r="F208" s="7">
        <f t="shared" si="39"/>
        <v>-1.0498221244986778</v>
      </c>
      <c r="G208">
        <f t="shared" si="40"/>
        <v>0</v>
      </c>
      <c r="H208">
        <f t="shared" si="41"/>
        <v>0</v>
      </c>
      <c r="I208">
        <f t="shared" si="42"/>
        <v>1</v>
      </c>
      <c r="J208">
        <f t="shared" si="43"/>
        <v>0</v>
      </c>
      <c r="K208">
        <f t="shared" si="44"/>
        <v>0</v>
      </c>
      <c r="L208">
        <f t="shared" si="45"/>
        <v>0</v>
      </c>
      <c r="M208">
        <f t="shared" si="46"/>
        <v>0</v>
      </c>
      <c r="N208">
        <f t="shared" si="47"/>
        <v>-1.0498221244986778</v>
      </c>
      <c r="O208">
        <f t="shared" si="48"/>
        <v>0</v>
      </c>
      <c r="P208">
        <f t="shared" si="49"/>
        <v>0</v>
      </c>
    </row>
    <row r="209" spans="1:16">
      <c r="A209">
        <v>2276</v>
      </c>
      <c r="B209" s="7">
        <v>0.4</v>
      </c>
      <c r="C209" t="s">
        <v>47</v>
      </c>
      <c r="E209">
        <f t="shared" si="38"/>
        <v>7.7301747952462216</v>
      </c>
      <c r="F209" s="7">
        <f t="shared" si="39"/>
        <v>-0.916290731874155</v>
      </c>
      <c r="G209">
        <f t="shared" si="40"/>
        <v>0</v>
      </c>
      <c r="H209">
        <f t="shared" si="41"/>
        <v>0</v>
      </c>
      <c r="I209">
        <f t="shared" si="42"/>
        <v>1</v>
      </c>
      <c r="J209">
        <f t="shared" si="43"/>
        <v>0</v>
      </c>
      <c r="K209">
        <f t="shared" si="44"/>
        <v>0</v>
      </c>
      <c r="L209">
        <f t="shared" si="45"/>
        <v>0</v>
      </c>
      <c r="M209">
        <f t="shared" si="46"/>
        <v>0</v>
      </c>
      <c r="N209">
        <f t="shared" si="47"/>
        <v>-0.916290731874155</v>
      </c>
      <c r="O209">
        <f t="shared" si="48"/>
        <v>0</v>
      </c>
      <c r="P209">
        <f t="shared" si="49"/>
        <v>0</v>
      </c>
    </row>
    <row r="210" spans="1:16">
      <c r="A210">
        <v>1616</v>
      </c>
      <c r="B210" s="7">
        <v>0.41</v>
      </c>
      <c r="C210" t="s">
        <v>49</v>
      </c>
      <c r="E210">
        <f t="shared" si="38"/>
        <v>7.3877092390810404</v>
      </c>
      <c r="F210" s="7">
        <f t="shared" si="39"/>
        <v>-0.89159811928378363</v>
      </c>
      <c r="G210">
        <f t="shared" si="40"/>
        <v>0</v>
      </c>
      <c r="H210">
        <f t="shared" si="41"/>
        <v>0</v>
      </c>
      <c r="I210">
        <f t="shared" si="42"/>
        <v>0</v>
      </c>
      <c r="J210">
        <f t="shared" si="43"/>
        <v>0</v>
      </c>
      <c r="K210">
        <f t="shared" si="44"/>
        <v>1</v>
      </c>
      <c r="L210">
        <f t="shared" si="45"/>
        <v>0</v>
      </c>
      <c r="M210">
        <f t="shared" si="46"/>
        <v>0</v>
      </c>
      <c r="N210">
        <f t="shared" si="47"/>
        <v>0</v>
      </c>
      <c r="O210">
        <f t="shared" si="48"/>
        <v>0</v>
      </c>
      <c r="P210">
        <f t="shared" si="49"/>
        <v>-0.89159811928378363</v>
      </c>
    </row>
    <row r="211" spans="1:16">
      <c r="A211">
        <v>1506</v>
      </c>
      <c r="B211" s="7">
        <v>0.41</v>
      </c>
      <c r="C211" t="s">
        <v>49</v>
      </c>
      <c r="E211">
        <f t="shared" si="38"/>
        <v>7.3172124083598389</v>
      </c>
      <c r="F211" s="7">
        <f t="shared" si="39"/>
        <v>-0.89159811928378363</v>
      </c>
      <c r="G211">
        <f t="shared" si="40"/>
        <v>0</v>
      </c>
      <c r="H211">
        <f t="shared" si="41"/>
        <v>0</v>
      </c>
      <c r="I211">
        <f t="shared" si="42"/>
        <v>0</v>
      </c>
      <c r="J211">
        <f t="shared" si="43"/>
        <v>0</v>
      </c>
      <c r="K211">
        <f t="shared" si="44"/>
        <v>1</v>
      </c>
      <c r="L211">
        <f t="shared" si="45"/>
        <v>0</v>
      </c>
      <c r="M211">
        <f t="shared" si="46"/>
        <v>0</v>
      </c>
      <c r="N211">
        <f t="shared" si="47"/>
        <v>0</v>
      </c>
      <c r="O211">
        <f t="shared" si="48"/>
        <v>0</v>
      </c>
      <c r="P211">
        <f t="shared" si="49"/>
        <v>-0.89159811928378363</v>
      </c>
    </row>
    <row r="212" spans="1:16">
      <c r="A212">
        <v>2651</v>
      </c>
      <c r="B212" s="7">
        <v>0.47</v>
      </c>
      <c r="C212" t="s">
        <v>3</v>
      </c>
      <c r="E212">
        <f t="shared" si="38"/>
        <v>7.8826922062890254</v>
      </c>
      <c r="F212" s="7">
        <f t="shared" si="39"/>
        <v>-0.75502258427803282</v>
      </c>
      <c r="G212">
        <f t="shared" si="40"/>
        <v>0</v>
      </c>
      <c r="H212">
        <f t="shared" si="41"/>
        <v>1</v>
      </c>
      <c r="I212">
        <f t="shared" si="42"/>
        <v>0</v>
      </c>
      <c r="J212">
        <f t="shared" si="43"/>
        <v>0</v>
      </c>
      <c r="K212">
        <f t="shared" si="44"/>
        <v>0</v>
      </c>
      <c r="L212">
        <f t="shared" si="45"/>
        <v>0</v>
      </c>
      <c r="M212">
        <f t="shared" si="46"/>
        <v>-0.75502258427803282</v>
      </c>
      <c r="N212">
        <f t="shared" si="47"/>
        <v>0</v>
      </c>
      <c r="O212">
        <f t="shared" si="48"/>
        <v>0</v>
      </c>
      <c r="P212">
        <f t="shared" si="49"/>
        <v>0</v>
      </c>
    </row>
    <row r="213" spans="1:16">
      <c r="A213">
        <v>2383</v>
      </c>
      <c r="B213" s="7">
        <v>0.48</v>
      </c>
      <c r="C213" t="s">
        <v>3</v>
      </c>
      <c r="E213">
        <f t="shared" si="38"/>
        <v>7.7761154770987417</v>
      </c>
      <c r="F213" s="7">
        <f t="shared" si="39"/>
        <v>-0.73396917508020043</v>
      </c>
      <c r="G213">
        <f t="shared" si="40"/>
        <v>0</v>
      </c>
      <c r="H213">
        <f t="shared" si="41"/>
        <v>1</v>
      </c>
      <c r="I213">
        <f t="shared" si="42"/>
        <v>0</v>
      </c>
      <c r="J213">
        <f t="shared" si="43"/>
        <v>0</v>
      </c>
      <c r="K213">
        <f t="shared" si="44"/>
        <v>0</v>
      </c>
      <c r="L213">
        <f t="shared" si="45"/>
        <v>0</v>
      </c>
      <c r="M213">
        <f t="shared" si="46"/>
        <v>-0.73396917508020043</v>
      </c>
      <c r="N213">
        <f t="shared" si="47"/>
        <v>0</v>
      </c>
      <c r="O213">
        <f t="shared" si="48"/>
        <v>0</v>
      </c>
      <c r="P213">
        <f t="shared" si="49"/>
        <v>0</v>
      </c>
    </row>
    <row r="214" spans="1:16">
      <c r="A214">
        <v>3652</v>
      </c>
      <c r="B214" s="7">
        <v>0.5</v>
      </c>
      <c r="C214" t="s">
        <v>47</v>
      </c>
      <c r="E214">
        <f t="shared" si="38"/>
        <v>8.2030302417148597</v>
      </c>
      <c r="F214" s="7">
        <f t="shared" si="39"/>
        <v>-0.69314718055994529</v>
      </c>
      <c r="G214">
        <f t="shared" si="40"/>
        <v>0</v>
      </c>
      <c r="H214">
        <f t="shared" si="41"/>
        <v>0</v>
      </c>
      <c r="I214">
        <f t="shared" si="42"/>
        <v>1</v>
      </c>
      <c r="J214">
        <f t="shared" si="43"/>
        <v>0</v>
      </c>
      <c r="K214">
        <f t="shared" si="44"/>
        <v>0</v>
      </c>
      <c r="L214">
        <f t="shared" si="45"/>
        <v>0</v>
      </c>
      <c r="M214">
        <f t="shared" si="46"/>
        <v>0</v>
      </c>
      <c r="N214">
        <f t="shared" si="47"/>
        <v>-0.69314718055994529</v>
      </c>
      <c r="O214">
        <f t="shared" si="48"/>
        <v>0</v>
      </c>
      <c r="P214">
        <f t="shared" si="49"/>
        <v>0</v>
      </c>
    </row>
    <row r="215" spans="1:16">
      <c r="A215">
        <v>3722</v>
      </c>
      <c r="B215" s="7">
        <v>0.51</v>
      </c>
      <c r="C215" t="s">
        <v>46</v>
      </c>
      <c r="E215">
        <f t="shared" si="38"/>
        <v>8.2220164372021962</v>
      </c>
      <c r="F215" s="7">
        <f t="shared" si="39"/>
        <v>-0.67334455326376563</v>
      </c>
      <c r="G215">
        <f t="shared" si="40"/>
        <v>1</v>
      </c>
      <c r="H215">
        <f t="shared" si="41"/>
        <v>0</v>
      </c>
      <c r="I215">
        <f t="shared" si="42"/>
        <v>0</v>
      </c>
      <c r="J215">
        <f t="shared" si="43"/>
        <v>0</v>
      </c>
      <c r="K215">
        <f t="shared" si="44"/>
        <v>0</v>
      </c>
      <c r="L215">
        <f t="shared" si="45"/>
        <v>-0.67334455326376563</v>
      </c>
      <c r="M215">
        <f t="shared" si="46"/>
        <v>0</v>
      </c>
      <c r="N215">
        <f t="shared" si="47"/>
        <v>0</v>
      </c>
      <c r="O215">
        <f t="shared" si="48"/>
        <v>0</v>
      </c>
      <c r="P215">
        <f t="shared" si="49"/>
        <v>0</v>
      </c>
    </row>
    <row r="216" spans="1:16">
      <c r="A216">
        <v>3722</v>
      </c>
      <c r="B216" s="7">
        <v>0.51</v>
      </c>
      <c r="C216" t="s">
        <v>3</v>
      </c>
      <c r="E216">
        <f t="shared" si="38"/>
        <v>8.2220164372021962</v>
      </c>
      <c r="F216" s="7">
        <f t="shared" si="39"/>
        <v>-0.67334455326376563</v>
      </c>
      <c r="G216">
        <f t="shared" si="40"/>
        <v>0</v>
      </c>
      <c r="H216">
        <f t="shared" si="41"/>
        <v>1</v>
      </c>
      <c r="I216">
        <f t="shared" si="42"/>
        <v>0</v>
      </c>
      <c r="J216">
        <f t="shared" si="43"/>
        <v>0</v>
      </c>
      <c r="K216">
        <f t="shared" si="44"/>
        <v>0</v>
      </c>
      <c r="L216">
        <f t="shared" si="45"/>
        <v>0</v>
      </c>
      <c r="M216">
        <f t="shared" si="46"/>
        <v>-0.67334455326376563</v>
      </c>
      <c r="N216">
        <f t="shared" si="47"/>
        <v>0</v>
      </c>
      <c r="O216">
        <f t="shared" si="48"/>
        <v>0</v>
      </c>
      <c r="P216">
        <f t="shared" si="49"/>
        <v>0</v>
      </c>
    </row>
    <row r="217" spans="1:16">
      <c r="A217">
        <v>3095</v>
      </c>
      <c r="B217" s="7">
        <v>0.52</v>
      </c>
      <c r="C217" t="s">
        <v>49</v>
      </c>
      <c r="E217">
        <f t="shared" si="38"/>
        <v>8.0375431851186967</v>
      </c>
      <c r="F217" s="7">
        <f t="shared" si="39"/>
        <v>-0.65392646740666394</v>
      </c>
      <c r="G217">
        <f t="shared" si="40"/>
        <v>0</v>
      </c>
      <c r="H217">
        <f t="shared" si="41"/>
        <v>0</v>
      </c>
      <c r="I217">
        <f t="shared" si="42"/>
        <v>0</v>
      </c>
      <c r="J217">
        <f t="shared" si="43"/>
        <v>0</v>
      </c>
      <c r="K217">
        <f t="shared" si="44"/>
        <v>1</v>
      </c>
      <c r="L217">
        <f t="shared" si="45"/>
        <v>0</v>
      </c>
      <c r="M217">
        <f t="shared" si="46"/>
        <v>0</v>
      </c>
      <c r="N217">
        <f t="shared" si="47"/>
        <v>0</v>
      </c>
      <c r="O217">
        <f t="shared" si="48"/>
        <v>0</v>
      </c>
      <c r="P217">
        <f t="shared" si="49"/>
        <v>-0.65392646740666394</v>
      </c>
    </row>
    <row r="218" spans="1:16">
      <c r="A218">
        <v>3706</v>
      </c>
      <c r="B218" s="7">
        <v>0.55000000000000004</v>
      </c>
      <c r="C218" t="s">
        <v>3</v>
      </c>
      <c r="E218">
        <f t="shared" si="38"/>
        <v>8.2177084068453059</v>
      </c>
      <c r="F218" s="7">
        <f t="shared" si="39"/>
        <v>-0.59783700075562041</v>
      </c>
      <c r="G218">
        <f t="shared" si="40"/>
        <v>0</v>
      </c>
      <c r="H218">
        <f t="shared" si="41"/>
        <v>1</v>
      </c>
      <c r="I218">
        <f t="shared" si="42"/>
        <v>0</v>
      </c>
      <c r="J218">
        <f t="shared" si="43"/>
        <v>0</v>
      </c>
      <c r="K218">
        <f t="shared" si="44"/>
        <v>0</v>
      </c>
      <c r="L218">
        <f t="shared" si="45"/>
        <v>0</v>
      </c>
      <c r="M218">
        <f t="shared" si="46"/>
        <v>-0.59783700075562041</v>
      </c>
      <c r="N218">
        <f t="shared" si="47"/>
        <v>0</v>
      </c>
      <c r="O218">
        <f t="shared" si="48"/>
        <v>0</v>
      </c>
      <c r="P218">
        <f t="shared" si="49"/>
        <v>0</v>
      </c>
    </row>
    <row r="219" spans="1:16">
      <c r="A219">
        <v>4070</v>
      </c>
      <c r="B219" s="7">
        <v>0.56000000000000005</v>
      </c>
      <c r="C219" t="s">
        <v>46</v>
      </c>
      <c r="E219">
        <f t="shared" si="38"/>
        <v>8.3113982784366414</v>
      </c>
      <c r="F219" s="7">
        <f t="shared" si="39"/>
        <v>-0.57981849525294205</v>
      </c>
      <c r="G219">
        <f t="shared" si="40"/>
        <v>1</v>
      </c>
      <c r="H219">
        <f t="shared" si="41"/>
        <v>0</v>
      </c>
      <c r="I219">
        <f t="shared" si="42"/>
        <v>0</v>
      </c>
      <c r="J219">
        <f t="shared" si="43"/>
        <v>0</v>
      </c>
      <c r="K219">
        <f t="shared" si="44"/>
        <v>0</v>
      </c>
      <c r="L219">
        <f t="shared" si="45"/>
        <v>-0.57981849525294205</v>
      </c>
      <c r="M219">
        <f t="shared" si="46"/>
        <v>0</v>
      </c>
      <c r="N219">
        <f t="shared" si="47"/>
        <v>0</v>
      </c>
      <c r="O219">
        <f t="shared" si="48"/>
        <v>0</v>
      </c>
      <c r="P219">
        <f t="shared" si="49"/>
        <v>0</v>
      </c>
    </row>
    <row r="220" spans="1:16">
      <c r="A220">
        <v>3470</v>
      </c>
      <c r="B220" s="7">
        <v>0.56000000000000005</v>
      </c>
      <c r="C220" t="s">
        <v>47</v>
      </c>
      <c r="E220">
        <f t="shared" si="38"/>
        <v>8.1519098729409052</v>
      </c>
      <c r="F220" s="7">
        <f t="shared" si="39"/>
        <v>-0.57981849525294205</v>
      </c>
      <c r="G220">
        <f t="shared" si="40"/>
        <v>0</v>
      </c>
      <c r="H220">
        <f t="shared" si="41"/>
        <v>0</v>
      </c>
      <c r="I220">
        <f t="shared" si="42"/>
        <v>1</v>
      </c>
      <c r="J220">
        <f t="shared" si="43"/>
        <v>0</v>
      </c>
      <c r="K220">
        <f t="shared" si="44"/>
        <v>0</v>
      </c>
      <c r="L220">
        <f t="shared" si="45"/>
        <v>0</v>
      </c>
      <c r="M220">
        <f t="shared" si="46"/>
        <v>0</v>
      </c>
      <c r="N220">
        <f t="shared" si="47"/>
        <v>-0.57981849525294205</v>
      </c>
      <c r="O220">
        <f t="shared" si="48"/>
        <v>0</v>
      </c>
      <c r="P220">
        <f t="shared" si="49"/>
        <v>0</v>
      </c>
    </row>
    <row r="221" spans="1:16">
      <c r="A221">
        <v>4831</v>
      </c>
      <c r="B221" s="7">
        <v>0.57999999999999996</v>
      </c>
      <c r="C221" t="s">
        <v>46</v>
      </c>
      <c r="E221">
        <f t="shared" si="38"/>
        <v>8.4828087645544059</v>
      </c>
      <c r="F221" s="7">
        <f t="shared" si="39"/>
        <v>-0.54472717544167215</v>
      </c>
      <c r="G221">
        <f t="shared" si="40"/>
        <v>1</v>
      </c>
      <c r="H221">
        <f t="shared" si="41"/>
        <v>0</v>
      </c>
      <c r="I221">
        <f t="shared" si="42"/>
        <v>0</v>
      </c>
      <c r="J221">
        <f t="shared" si="43"/>
        <v>0</v>
      </c>
      <c r="K221">
        <f t="shared" si="44"/>
        <v>0</v>
      </c>
      <c r="L221">
        <f t="shared" si="45"/>
        <v>-0.54472717544167215</v>
      </c>
      <c r="M221">
        <f t="shared" si="46"/>
        <v>0</v>
      </c>
      <c r="N221">
        <f t="shared" si="47"/>
        <v>0</v>
      </c>
      <c r="O221">
        <f t="shared" si="48"/>
        <v>0</v>
      </c>
      <c r="P221">
        <f t="shared" si="49"/>
        <v>0</v>
      </c>
    </row>
    <row r="222" spans="1:16">
      <c r="A222">
        <v>4209</v>
      </c>
      <c r="B222" s="7">
        <v>0.57999999999999996</v>
      </c>
      <c r="C222" t="s">
        <v>3</v>
      </c>
      <c r="E222">
        <f t="shared" si="38"/>
        <v>8.344980368770571</v>
      </c>
      <c r="F222" s="7">
        <f t="shared" si="39"/>
        <v>-0.54472717544167215</v>
      </c>
      <c r="G222">
        <f t="shared" si="40"/>
        <v>0</v>
      </c>
      <c r="H222">
        <f t="shared" si="41"/>
        <v>1</v>
      </c>
      <c r="I222">
        <f t="shared" si="42"/>
        <v>0</v>
      </c>
      <c r="J222">
        <f t="shared" si="43"/>
        <v>0</v>
      </c>
      <c r="K222">
        <f t="shared" si="44"/>
        <v>0</v>
      </c>
      <c r="L222">
        <f t="shared" si="45"/>
        <v>0</v>
      </c>
      <c r="M222">
        <f t="shared" si="46"/>
        <v>-0.54472717544167215</v>
      </c>
      <c r="N222">
        <f t="shared" si="47"/>
        <v>0</v>
      </c>
      <c r="O222">
        <f t="shared" si="48"/>
        <v>0</v>
      </c>
      <c r="P222">
        <f t="shared" si="49"/>
        <v>0</v>
      </c>
    </row>
    <row r="223" spans="1:16">
      <c r="A223">
        <v>3821</v>
      </c>
      <c r="B223" s="7">
        <v>0.57999999999999996</v>
      </c>
      <c r="C223" t="s">
        <v>47</v>
      </c>
      <c r="E223">
        <f t="shared" si="38"/>
        <v>8.2482674474468993</v>
      </c>
      <c r="F223" s="7">
        <f t="shared" si="39"/>
        <v>-0.54472717544167215</v>
      </c>
      <c r="G223">
        <f t="shared" si="40"/>
        <v>0</v>
      </c>
      <c r="H223">
        <f t="shared" si="41"/>
        <v>0</v>
      </c>
      <c r="I223">
        <f t="shared" si="42"/>
        <v>1</v>
      </c>
      <c r="J223">
        <f t="shared" si="43"/>
        <v>0</v>
      </c>
      <c r="K223">
        <f t="shared" si="44"/>
        <v>0</v>
      </c>
      <c r="L223">
        <f t="shared" si="45"/>
        <v>0</v>
      </c>
      <c r="M223">
        <f t="shared" si="46"/>
        <v>0</v>
      </c>
      <c r="N223">
        <f t="shared" si="47"/>
        <v>-0.54472717544167215</v>
      </c>
      <c r="O223">
        <f t="shared" si="48"/>
        <v>0</v>
      </c>
      <c r="P223">
        <f t="shared" si="49"/>
        <v>0</v>
      </c>
    </row>
    <row r="224" spans="1:16">
      <c r="A224">
        <v>5607</v>
      </c>
      <c r="B224" s="7">
        <v>0.7</v>
      </c>
      <c r="C224" t="s">
        <v>47</v>
      </c>
      <c r="E224">
        <f t="shared" si="38"/>
        <v>8.6317710961236731</v>
      </c>
      <c r="F224" s="7">
        <f t="shared" si="39"/>
        <v>-0.35667494393873245</v>
      </c>
      <c r="G224">
        <f t="shared" si="40"/>
        <v>0</v>
      </c>
      <c r="H224">
        <f t="shared" si="41"/>
        <v>0</v>
      </c>
      <c r="I224">
        <f t="shared" si="42"/>
        <v>1</v>
      </c>
      <c r="J224">
        <f t="shared" si="43"/>
        <v>0</v>
      </c>
      <c r="K224">
        <f t="shared" si="44"/>
        <v>0</v>
      </c>
      <c r="L224">
        <f t="shared" si="45"/>
        <v>0</v>
      </c>
      <c r="M224">
        <f t="shared" si="46"/>
        <v>0</v>
      </c>
      <c r="N224">
        <f t="shared" si="47"/>
        <v>-0.35667494393873245</v>
      </c>
      <c r="O224">
        <f t="shared" si="48"/>
        <v>0</v>
      </c>
      <c r="P224">
        <f t="shared" si="49"/>
        <v>0</v>
      </c>
    </row>
    <row r="225" spans="1:16">
      <c r="A225">
        <v>5326</v>
      </c>
      <c r="B225" s="7">
        <v>0.7</v>
      </c>
      <c r="C225" t="s">
        <v>47</v>
      </c>
      <c r="E225">
        <f t="shared" si="38"/>
        <v>8.5803557663738772</v>
      </c>
      <c r="F225" s="7">
        <f t="shared" si="39"/>
        <v>-0.35667494393873245</v>
      </c>
      <c r="G225">
        <f t="shared" si="40"/>
        <v>0</v>
      </c>
      <c r="H225">
        <f t="shared" si="41"/>
        <v>0</v>
      </c>
      <c r="I225">
        <f t="shared" si="42"/>
        <v>1</v>
      </c>
      <c r="J225">
        <f t="shared" si="43"/>
        <v>0</v>
      </c>
      <c r="K225">
        <f t="shared" si="44"/>
        <v>0</v>
      </c>
      <c r="L225">
        <f t="shared" si="45"/>
        <v>0</v>
      </c>
      <c r="M225">
        <f t="shared" si="46"/>
        <v>0</v>
      </c>
      <c r="N225">
        <f t="shared" si="47"/>
        <v>-0.35667494393873245</v>
      </c>
      <c r="O225">
        <f t="shared" si="48"/>
        <v>0</v>
      </c>
      <c r="P225">
        <f t="shared" si="49"/>
        <v>0</v>
      </c>
    </row>
    <row r="226" spans="1:16">
      <c r="A226">
        <v>6160</v>
      </c>
      <c r="B226" s="7">
        <v>0.71</v>
      </c>
      <c r="C226" t="s">
        <v>45</v>
      </c>
      <c r="E226">
        <f t="shared" si="38"/>
        <v>8.7258320565275653</v>
      </c>
      <c r="F226" s="7">
        <f t="shared" si="39"/>
        <v>-0.34249030894677601</v>
      </c>
      <c r="G226">
        <f t="shared" si="40"/>
        <v>0</v>
      </c>
      <c r="H226">
        <f t="shared" si="41"/>
        <v>0</v>
      </c>
      <c r="I226">
        <f t="shared" si="42"/>
        <v>0</v>
      </c>
      <c r="J226">
        <f t="shared" si="43"/>
        <v>0</v>
      </c>
      <c r="K226">
        <f t="shared" si="44"/>
        <v>0</v>
      </c>
      <c r="L226">
        <f t="shared" si="45"/>
        <v>0</v>
      </c>
      <c r="M226">
        <f t="shared" si="46"/>
        <v>0</v>
      </c>
      <c r="N226">
        <f t="shared" si="47"/>
        <v>0</v>
      </c>
      <c r="O226">
        <f t="shared" si="48"/>
        <v>0</v>
      </c>
      <c r="P226">
        <f t="shared" si="49"/>
        <v>0</v>
      </c>
    </row>
    <row r="227" spans="1:16">
      <c r="A227">
        <v>6095</v>
      </c>
      <c r="B227" s="7">
        <v>0.76</v>
      </c>
      <c r="C227" t="s">
        <v>3</v>
      </c>
      <c r="E227">
        <f t="shared" si="38"/>
        <v>8.7152240419153717</v>
      </c>
      <c r="F227" s="7">
        <f t="shared" si="39"/>
        <v>-0.2744368457017603</v>
      </c>
      <c r="G227">
        <f t="shared" si="40"/>
        <v>0</v>
      </c>
      <c r="H227">
        <f t="shared" si="41"/>
        <v>1</v>
      </c>
      <c r="I227">
        <f t="shared" si="42"/>
        <v>0</v>
      </c>
      <c r="J227">
        <f t="shared" si="43"/>
        <v>0</v>
      </c>
      <c r="K227">
        <f t="shared" si="44"/>
        <v>0</v>
      </c>
      <c r="L227">
        <f t="shared" si="45"/>
        <v>0</v>
      </c>
      <c r="M227">
        <f t="shared" si="46"/>
        <v>-0.2744368457017603</v>
      </c>
      <c r="N227">
        <f t="shared" si="47"/>
        <v>0</v>
      </c>
      <c r="O227">
        <f t="shared" si="48"/>
        <v>0</v>
      </c>
      <c r="P227">
        <f t="shared" si="49"/>
        <v>0</v>
      </c>
    </row>
    <row r="228" spans="1:16">
      <c r="A228">
        <v>5937</v>
      </c>
      <c r="B228" s="7">
        <v>0.78</v>
      </c>
      <c r="C228" t="s">
        <v>47</v>
      </c>
      <c r="E228">
        <f t="shared" si="38"/>
        <v>8.6889592342706763</v>
      </c>
      <c r="F228" s="7">
        <f t="shared" si="39"/>
        <v>-0.24846135929849961</v>
      </c>
      <c r="G228">
        <f t="shared" si="40"/>
        <v>0</v>
      </c>
      <c r="H228">
        <f t="shared" si="41"/>
        <v>0</v>
      </c>
      <c r="I228">
        <f t="shared" si="42"/>
        <v>1</v>
      </c>
      <c r="J228">
        <f t="shared" si="43"/>
        <v>0</v>
      </c>
      <c r="K228">
        <f t="shared" si="44"/>
        <v>0</v>
      </c>
      <c r="L228">
        <f t="shared" si="45"/>
        <v>0</v>
      </c>
      <c r="M228">
        <f t="shared" si="46"/>
        <v>0</v>
      </c>
      <c r="N228">
        <f t="shared" si="47"/>
        <v>-0.24846135929849961</v>
      </c>
      <c r="O228">
        <f t="shared" si="48"/>
        <v>0</v>
      </c>
      <c r="P228">
        <f t="shared" si="49"/>
        <v>0</v>
      </c>
    </row>
    <row r="229" spans="1:16">
      <c r="A229">
        <v>9342</v>
      </c>
      <c r="B229" s="7">
        <v>1</v>
      </c>
      <c r="C229" t="s">
        <v>48</v>
      </c>
      <c r="E229">
        <f t="shared" si="38"/>
        <v>9.1422756410620529</v>
      </c>
      <c r="F229" s="7">
        <f t="shared" si="39"/>
        <v>0</v>
      </c>
      <c r="G229">
        <f t="shared" si="40"/>
        <v>0</v>
      </c>
      <c r="H229">
        <f t="shared" si="41"/>
        <v>0</v>
      </c>
      <c r="I229">
        <f t="shared" si="42"/>
        <v>0</v>
      </c>
      <c r="J229">
        <f t="shared" si="43"/>
        <v>1</v>
      </c>
      <c r="K229">
        <f t="shared" si="44"/>
        <v>0</v>
      </c>
      <c r="L229">
        <f t="shared" si="45"/>
        <v>0</v>
      </c>
      <c r="M229">
        <f t="shared" si="46"/>
        <v>0</v>
      </c>
      <c r="N229">
        <f t="shared" si="47"/>
        <v>0</v>
      </c>
      <c r="O229">
        <f t="shared" si="48"/>
        <v>0</v>
      </c>
      <c r="P229">
        <f t="shared" si="49"/>
        <v>0</v>
      </c>
    </row>
    <row r="230" spans="1:16">
      <c r="A230">
        <v>9713</v>
      </c>
      <c r="B230" s="7">
        <v>1.01</v>
      </c>
      <c r="C230" t="s">
        <v>47</v>
      </c>
      <c r="E230">
        <f t="shared" si="38"/>
        <v>9.1812204734023304</v>
      </c>
      <c r="F230" s="7">
        <f t="shared" si="39"/>
        <v>9.950330853168092E-3</v>
      </c>
      <c r="G230">
        <f t="shared" si="40"/>
        <v>0</v>
      </c>
      <c r="H230">
        <f t="shared" si="41"/>
        <v>0</v>
      </c>
      <c r="I230">
        <f t="shared" si="42"/>
        <v>1</v>
      </c>
      <c r="J230">
        <f t="shared" si="43"/>
        <v>0</v>
      </c>
      <c r="K230">
        <f t="shared" si="44"/>
        <v>0</v>
      </c>
      <c r="L230">
        <f t="shared" si="45"/>
        <v>0</v>
      </c>
      <c r="M230">
        <f t="shared" si="46"/>
        <v>0</v>
      </c>
      <c r="N230">
        <f t="shared" si="47"/>
        <v>9.950330853168092E-3</v>
      </c>
      <c r="O230">
        <f t="shared" si="48"/>
        <v>0</v>
      </c>
      <c r="P230">
        <f t="shared" si="49"/>
        <v>0</v>
      </c>
    </row>
    <row r="231" spans="1:16">
      <c r="A231">
        <v>8873</v>
      </c>
      <c r="B231" s="7">
        <v>1.01</v>
      </c>
      <c r="C231" t="s">
        <v>48</v>
      </c>
      <c r="E231">
        <f t="shared" si="38"/>
        <v>9.0907682368353377</v>
      </c>
      <c r="F231" s="7">
        <f t="shared" si="39"/>
        <v>9.950330853168092E-3</v>
      </c>
      <c r="G231">
        <f t="shared" si="40"/>
        <v>0</v>
      </c>
      <c r="H231">
        <f t="shared" si="41"/>
        <v>0</v>
      </c>
      <c r="I231">
        <f t="shared" si="42"/>
        <v>0</v>
      </c>
      <c r="J231">
        <f t="shared" si="43"/>
        <v>1</v>
      </c>
      <c r="K231">
        <f t="shared" si="44"/>
        <v>0</v>
      </c>
      <c r="L231">
        <f t="shared" si="45"/>
        <v>0</v>
      </c>
      <c r="M231">
        <f t="shared" si="46"/>
        <v>0</v>
      </c>
      <c r="N231">
        <f t="shared" si="47"/>
        <v>0</v>
      </c>
      <c r="O231">
        <f t="shared" si="48"/>
        <v>9.950330853168092E-3</v>
      </c>
      <c r="P231">
        <f t="shared" si="49"/>
        <v>0</v>
      </c>
    </row>
    <row r="232" spans="1:16">
      <c r="A232">
        <v>8175</v>
      </c>
      <c r="B232" s="7">
        <v>1.01</v>
      </c>
      <c r="C232" t="s">
        <v>49</v>
      </c>
      <c r="E232">
        <f t="shared" si="38"/>
        <v>9.0088359957654536</v>
      </c>
      <c r="F232" s="7">
        <f t="shared" si="39"/>
        <v>9.950330853168092E-3</v>
      </c>
      <c r="G232">
        <f t="shared" si="40"/>
        <v>0</v>
      </c>
      <c r="H232">
        <f t="shared" si="41"/>
        <v>0</v>
      </c>
      <c r="I232">
        <f t="shared" si="42"/>
        <v>0</v>
      </c>
      <c r="J232">
        <f t="shared" si="43"/>
        <v>0</v>
      </c>
      <c r="K232">
        <f t="shared" si="44"/>
        <v>1</v>
      </c>
      <c r="L232">
        <f t="shared" si="45"/>
        <v>0</v>
      </c>
      <c r="M232">
        <f t="shared" si="46"/>
        <v>0</v>
      </c>
      <c r="N232">
        <f t="shared" si="47"/>
        <v>0</v>
      </c>
      <c r="O232">
        <f t="shared" si="48"/>
        <v>0</v>
      </c>
      <c r="P232">
        <f t="shared" si="49"/>
        <v>9.950330853168092E-3</v>
      </c>
    </row>
    <row r="233" spans="1:16">
      <c r="A233">
        <v>3778</v>
      </c>
      <c r="B233" s="7">
        <v>0.5</v>
      </c>
      <c r="C233" t="s">
        <v>3</v>
      </c>
      <c r="E233">
        <f t="shared" si="38"/>
        <v>8.2369500480614555</v>
      </c>
      <c r="F233" s="7">
        <f t="shared" si="39"/>
        <v>-0.69314718055994529</v>
      </c>
      <c r="G233">
        <f t="shared" si="40"/>
        <v>0</v>
      </c>
      <c r="H233">
        <f t="shared" si="41"/>
        <v>1</v>
      </c>
      <c r="I233">
        <f t="shared" si="42"/>
        <v>0</v>
      </c>
      <c r="J233">
        <f t="shared" si="43"/>
        <v>0</v>
      </c>
      <c r="K233">
        <f t="shared" si="44"/>
        <v>0</v>
      </c>
      <c r="L233">
        <f t="shared" si="45"/>
        <v>0</v>
      </c>
      <c r="M233">
        <f t="shared" si="46"/>
        <v>-0.69314718055994529</v>
      </c>
      <c r="N233">
        <f t="shared" si="47"/>
        <v>0</v>
      </c>
      <c r="O233">
        <f t="shared" si="48"/>
        <v>0</v>
      </c>
      <c r="P233">
        <f t="shared" si="49"/>
        <v>0</v>
      </c>
    </row>
    <row r="234" spans="1:16">
      <c r="A234">
        <v>3432</v>
      </c>
      <c r="B234" s="7">
        <v>0.5</v>
      </c>
      <c r="C234" t="s">
        <v>47</v>
      </c>
      <c r="E234">
        <f t="shared" si="38"/>
        <v>8.1408984606078523</v>
      </c>
      <c r="F234" s="7">
        <f t="shared" si="39"/>
        <v>-0.69314718055994529</v>
      </c>
      <c r="G234">
        <f t="shared" si="40"/>
        <v>0</v>
      </c>
      <c r="H234">
        <f t="shared" si="41"/>
        <v>0</v>
      </c>
      <c r="I234">
        <f t="shared" si="42"/>
        <v>1</v>
      </c>
      <c r="J234">
        <f t="shared" si="43"/>
        <v>0</v>
      </c>
      <c r="K234">
        <f t="shared" si="44"/>
        <v>0</v>
      </c>
      <c r="L234">
        <f t="shared" si="45"/>
        <v>0</v>
      </c>
      <c r="M234">
        <f t="shared" si="46"/>
        <v>0</v>
      </c>
      <c r="N234">
        <f t="shared" si="47"/>
        <v>-0.69314718055994529</v>
      </c>
      <c r="O234">
        <f t="shared" si="48"/>
        <v>0</v>
      </c>
      <c r="P234">
        <f t="shared" si="49"/>
        <v>0</v>
      </c>
    </row>
    <row r="235" spans="1:16">
      <c r="A235">
        <v>3851</v>
      </c>
      <c r="B235" s="7">
        <v>0.51</v>
      </c>
      <c r="C235" t="s">
        <v>3</v>
      </c>
      <c r="E235">
        <f t="shared" si="38"/>
        <v>8.2560881338149095</v>
      </c>
      <c r="F235" s="7">
        <f t="shared" si="39"/>
        <v>-0.67334455326376563</v>
      </c>
      <c r="G235">
        <f t="shared" si="40"/>
        <v>0</v>
      </c>
      <c r="H235">
        <f t="shared" si="41"/>
        <v>1</v>
      </c>
      <c r="I235">
        <f t="shared" si="42"/>
        <v>0</v>
      </c>
      <c r="J235">
        <f t="shared" si="43"/>
        <v>0</v>
      </c>
      <c r="K235">
        <f t="shared" si="44"/>
        <v>0</v>
      </c>
      <c r="L235">
        <f t="shared" si="45"/>
        <v>0</v>
      </c>
      <c r="M235">
        <f t="shared" si="46"/>
        <v>-0.67334455326376563</v>
      </c>
      <c r="N235">
        <f t="shared" si="47"/>
        <v>0</v>
      </c>
      <c r="O235">
        <f t="shared" si="48"/>
        <v>0</v>
      </c>
      <c r="P235">
        <f t="shared" si="49"/>
        <v>0</v>
      </c>
    </row>
    <row r="236" spans="1:16">
      <c r="A236">
        <v>3346</v>
      </c>
      <c r="B236" s="7">
        <v>0.52</v>
      </c>
      <c r="C236" t="s">
        <v>46</v>
      </c>
      <c r="E236">
        <f t="shared" si="38"/>
        <v>8.1155208815467699</v>
      </c>
      <c r="F236" s="7">
        <f t="shared" si="39"/>
        <v>-0.65392646740666394</v>
      </c>
      <c r="G236">
        <f t="shared" si="40"/>
        <v>1</v>
      </c>
      <c r="H236">
        <f t="shared" si="41"/>
        <v>0</v>
      </c>
      <c r="I236">
        <f t="shared" si="42"/>
        <v>0</v>
      </c>
      <c r="J236">
        <f t="shared" si="43"/>
        <v>0</v>
      </c>
      <c r="K236">
        <f t="shared" si="44"/>
        <v>0</v>
      </c>
      <c r="L236">
        <f t="shared" si="45"/>
        <v>-0.65392646740666394</v>
      </c>
      <c r="M236">
        <f t="shared" si="46"/>
        <v>0</v>
      </c>
      <c r="N236">
        <f t="shared" si="47"/>
        <v>0</v>
      </c>
      <c r="O236">
        <f t="shared" si="48"/>
        <v>0</v>
      </c>
      <c r="P236">
        <f t="shared" si="49"/>
        <v>0</v>
      </c>
    </row>
    <row r="237" spans="1:16">
      <c r="A237">
        <v>3130</v>
      </c>
      <c r="B237" s="7">
        <v>0.52</v>
      </c>
      <c r="C237" t="s">
        <v>48</v>
      </c>
      <c r="E237">
        <f t="shared" si="38"/>
        <v>8.0487882835341988</v>
      </c>
      <c r="F237" s="7">
        <f t="shared" si="39"/>
        <v>-0.65392646740666394</v>
      </c>
      <c r="G237">
        <f t="shared" si="40"/>
        <v>0</v>
      </c>
      <c r="H237">
        <f t="shared" si="41"/>
        <v>0</v>
      </c>
      <c r="I237">
        <f t="shared" si="42"/>
        <v>0</v>
      </c>
      <c r="J237">
        <f t="shared" si="43"/>
        <v>1</v>
      </c>
      <c r="K237">
        <f t="shared" si="44"/>
        <v>0</v>
      </c>
      <c r="L237">
        <f t="shared" si="45"/>
        <v>0</v>
      </c>
      <c r="M237">
        <f t="shared" si="46"/>
        <v>0</v>
      </c>
      <c r="N237">
        <f t="shared" si="47"/>
        <v>0</v>
      </c>
      <c r="O237">
        <f t="shared" si="48"/>
        <v>-0.65392646740666394</v>
      </c>
      <c r="P237">
        <f t="shared" si="49"/>
        <v>0</v>
      </c>
    </row>
    <row r="238" spans="1:16">
      <c r="A238">
        <v>3995</v>
      </c>
      <c r="B238" s="7">
        <v>0.53</v>
      </c>
      <c r="C238" t="s">
        <v>3</v>
      </c>
      <c r="E238">
        <f t="shared" si="38"/>
        <v>8.2927988582003742</v>
      </c>
      <c r="F238" s="7">
        <f t="shared" si="39"/>
        <v>-0.6348782724359695</v>
      </c>
      <c r="G238">
        <f t="shared" si="40"/>
        <v>0</v>
      </c>
      <c r="H238">
        <f t="shared" si="41"/>
        <v>1</v>
      </c>
      <c r="I238">
        <f t="shared" si="42"/>
        <v>0</v>
      </c>
      <c r="J238">
        <f t="shared" si="43"/>
        <v>0</v>
      </c>
      <c r="K238">
        <f t="shared" si="44"/>
        <v>0</v>
      </c>
      <c r="L238">
        <f t="shared" si="45"/>
        <v>0</v>
      </c>
      <c r="M238">
        <f t="shared" si="46"/>
        <v>-0.6348782724359695</v>
      </c>
      <c r="N238">
        <f t="shared" si="47"/>
        <v>0</v>
      </c>
      <c r="O238">
        <f t="shared" si="48"/>
        <v>0</v>
      </c>
      <c r="P238">
        <f t="shared" si="49"/>
        <v>0</v>
      </c>
    </row>
    <row r="239" spans="1:16">
      <c r="A239">
        <v>3701</v>
      </c>
      <c r="B239" s="7">
        <v>0.53</v>
      </c>
      <c r="C239" t="s">
        <v>3</v>
      </c>
      <c r="E239">
        <f t="shared" si="38"/>
        <v>8.2163583323861555</v>
      </c>
      <c r="F239" s="7">
        <f t="shared" si="39"/>
        <v>-0.6348782724359695</v>
      </c>
      <c r="G239">
        <f t="shared" si="40"/>
        <v>0</v>
      </c>
      <c r="H239">
        <f t="shared" si="41"/>
        <v>1</v>
      </c>
      <c r="I239">
        <f t="shared" si="42"/>
        <v>0</v>
      </c>
      <c r="J239">
        <f t="shared" si="43"/>
        <v>0</v>
      </c>
      <c r="K239">
        <f t="shared" si="44"/>
        <v>0</v>
      </c>
      <c r="L239">
        <f t="shared" si="45"/>
        <v>0</v>
      </c>
      <c r="M239">
        <f t="shared" si="46"/>
        <v>-0.6348782724359695</v>
      </c>
      <c r="N239">
        <f t="shared" si="47"/>
        <v>0</v>
      </c>
      <c r="O239">
        <f t="shared" si="48"/>
        <v>0</v>
      </c>
      <c r="P239">
        <f t="shared" si="49"/>
        <v>0</v>
      </c>
    </row>
    <row r="240" spans="1:16">
      <c r="A240">
        <v>3529</v>
      </c>
      <c r="B240" s="7">
        <v>0.55000000000000004</v>
      </c>
      <c r="C240" t="s">
        <v>47</v>
      </c>
      <c r="E240">
        <f t="shared" si="38"/>
        <v>8.1687698236752695</v>
      </c>
      <c r="F240" s="7">
        <f t="shared" si="39"/>
        <v>-0.59783700075562041</v>
      </c>
      <c r="G240">
        <f t="shared" si="40"/>
        <v>0</v>
      </c>
      <c r="H240">
        <f t="shared" si="41"/>
        <v>0</v>
      </c>
      <c r="I240">
        <f t="shared" si="42"/>
        <v>1</v>
      </c>
      <c r="J240">
        <f t="shared" si="43"/>
        <v>0</v>
      </c>
      <c r="K240">
        <f t="shared" si="44"/>
        <v>0</v>
      </c>
      <c r="L240">
        <f t="shared" si="45"/>
        <v>0</v>
      </c>
      <c r="M240">
        <f t="shared" si="46"/>
        <v>0</v>
      </c>
      <c r="N240">
        <f t="shared" si="47"/>
        <v>-0.59783700075562041</v>
      </c>
      <c r="O240">
        <f t="shared" si="48"/>
        <v>0</v>
      </c>
      <c r="P240">
        <f t="shared" si="49"/>
        <v>0</v>
      </c>
    </row>
    <row r="241" spans="1:16">
      <c r="A241">
        <v>3667</v>
      </c>
      <c r="B241" s="7">
        <v>0.56000000000000005</v>
      </c>
      <c r="C241" t="s">
        <v>3</v>
      </c>
      <c r="E241">
        <f t="shared" si="38"/>
        <v>8.2071291680713259</v>
      </c>
      <c r="F241" s="7">
        <f t="shared" si="39"/>
        <v>-0.57981849525294205</v>
      </c>
      <c r="G241">
        <f t="shared" si="40"/>
        <v>0</v>
      </c>
      <c r="H241">
        <f t="shared" si="41"/>
        <v>1</v>
      </c>
      <c r="I241">
        <f t="shared" si="42"/>
        <v>0</v>
      </c>
      <c r="J241">
        <f t="shared" si="43"/>
        <v>0</v>
      </c>
      <c r="K241">
        <f t="shared" si="44"/>
        <v>0</v>
      </c>
      <c r="L241">
        <f t="shared" si="45"/>
        <v>0</v>
      </c>
      <c r="M241">
        <f t="shared" si="46"/>
        <v>-0.57981849525294205</v>
      </c>
      <c r="N241">
        <f t="shared" si="47"/>
        <v>0</v>
      </c>
      <c r="O241">
        <f t="shared" si="48"/>
        <v>0</v>
      </c>
      <c r="P241">
        <f t="shared" si="49"/>
        <v>0</v>
      </c>
    </row>
    <row r="242" spans="1:16">
      <c r="A242">
        <v>3202</v>
      </c>
      <c r="B242" s="7">
        <v>0.56000000000000005</v>
      </c>
      <c r="C242" t="s">
        <v>3</v>
      </c>
      <c r="E242">
        <f t="shared" si="38"/>
        <v>8.0715308935566608</v>
      </c>
      <c r="F242" s="7">
        <f t="shared" si="39"/>
        <v>-0.57981849525294205</v>
      </c>
      <c r="G242">
        <f t="shared" si="40"/>
        <v>0</v>
      </c>
      <c r="H242">
        <f t="shared" si="41"/>
        <v>1</v>
      </c>
      <c r="I242">
        <f t="shared" si="42"/>
        <v>0</v>
      </c>
      <c r="J242">
        <f t="shared" si="43"/>
        <v>0</v>
      </c>
      <c r="K242">
        <f t="shared" si="44"/>
        <v>0</v>
      </c>
      <c r="L242">
        <f t="shared" si="45"/>
        <v>0</v>
      </c>
      <c r="M242">
        <f t="shared" si="46"/>
        <v>-0.57981849525294205</v>
      </c>
      <c r="N242">
        <f t="shared" si="47"/>
        <v>0</v>
      </c>
      <c r="O242">
        <f t="shared" si="48"/>
        <v>0</v>
      </c>
      <c r="P242">
        <f t="shared" si="49"/>
        <v>0</v>
      </c>
    </row>
    <row r="243" spans="1:16">
      <c r="A243">
        <v>3256</v>
      </c>
      <c r="B243" s="7">
        <v>0.56999999999999995</v>
      </c>
      <c r="C243" t="s">
        <v>3</v>
      </c>
      <c r="E243">
        <f t="shared" si="38"/>
        <v>8.0882547271224308</v>
      </c>
      <c r="F243" s="7">
        <f t="shared" si="39"/>
        <v>-0.56211891815354131</v>
      </c>
      <c r="G243">
        <f t="shared" si="40"/>
        <v>0</v>
      </c>
      <c r="H243">
        <f t="shared" si="41"/>
        <v>1</v>
      </c>
      <c r="I243">
        <f t="shared" si="42"/>
        <v>0</v>
      </c>
      <c r="J243">
        <f t="shared" si="43"/>
        <v>0</v>
      </c>
      <c r="K243">
        <f t="shared" si="44"/>
        <v>0</v>
      </c>
      <c r="L243">
        <f t="shared" si="45"/>
        <v>0</v>
      </c>
      <c r="M243">
        <f t="shared" si="46"/>
        <v>-0.56211891815354131</v>
      </c>
      <c r="N243">
        <f t="shared" si="47"/>
        <v>0</v>
      </c>
      <c r="O243">
        <f t="shared" si="48"/>
        <v>0</v>
      </c>
      <c r="P243">
        <f t="shared" si="49"/>
        <v>0</v>
      </c>
    </row>
    <row r="244" spans="1:16">
      <c r="A244">
        <v>3415</v>
      </c>
      <c r="B244" s="7">
        <v>0.56999999999999995</v>
      </c>
      <c r="C244" t="s">
        <v>48</v>
      </c>
      <c r="E244">
        <f t="shared" si="38"/>
        <v>8.1359327720048906</v>
      </c>
      <c r="F244" s="7">
        <f t="shared" si="39"/>
        <v>-0.56211891815354131</v>
      </c>
      <c r="G244">
        <f t="shared" si="40"/>
        <v>0</v>
      </c>
      <c r="H244">
        <f t="shared" si="41"/>
        <v>0</v>
      </c>
      <c r="I244">
        <f t="shared" si="42"/>
        <v>0</v>
      </c>
      <c r="J244">
        <f t="shared" si="43"/>
        <v>1</v>
      </c>
      <c r="K244">
        <f t="shared" si="44"/>
        <v>0</v>
      </c>
      <c r="L244">
        <f t="shared" si="45"/>
        <v>0</v>
      </c>
      <c r="M244">
        <f t="shared" si="46"/>
        <v>0</v>
      </c>
      <c r="N244">
        <f t="shared" si="47"/>
        <v>0</v>
      </c>
      <c r="O244">
        <f t="shared" si="48"/>
        <v>-0.56211891815354131</v>
      </c>
      <c r="P244">
        <f t="shared" si="49"/>
        <v>0</v>
      </c>
    </row>
    <row r="245" spans="1:16">
      <c r="A245">
        <v>3792</v>
      </c>
      <c r="B245" s="7">
        <v>0.57999999999999996</v>
      </c>
      <c r="C245" t="s">
        <v>48</v>
      </c>
      <c r="E245">
        <f t="shared" si="38"/>
        <v>8.2406488633749131</v>
      </c>
      <c r="F245" s="7">
        <f t="shared" si="39"/>
        <v>-0.54472717544167215</v>
      </c>
      <c r="G245">
        <f t="shared" si="40"/>
        <v>0</v>
      </c>
      <c r="H245">
        <f t="shared" si="41"/>
        <v>0</v>
      </c>
      <c r="I245">
        <f t="shared" si="42"/>
        <v>0</v>
      </c>
      <c r="J245">
        <f t="shared" si="43"/>
        <v>1</v>
      </c>
      <c r="K245">
        <f t="shared" si="44"/>
        <v>0</v>
      </c>
      <c r="L245">
        <f t="shared" si="45"/>
        <v>0</v>
      </c>
      <c r="M245">
        <f t="shared" si="46"/>
        <v>0</v>
      </c>
      <c r="N245">
        <f t="shared" si="47"/>
        <v>0</v>
      </c>
      <c r="O245">
        <f t="shared" si="48"/>
        <v>-0.54472717544167215</v>
      </c>
      <c r="P245">
        <f t="shared" si="49"/>
        <v>0</v>
      </c>
    </row>
    <row r="246" spans="1:16">
      <c r="A246">
        <v>3925</v>
      </c>
      <c r="B246" s="7">
        <v>0.6</v>
      </c>
      <c r="C246" t="s">
        <v>47</v>
      </c>
      <c r="E246">
        <f t="shared" si="38"/>
        <v>8.2751216302165087</v>
      </c>
      <c r="F246" s="7">
        <f t="shared" si="39"/>
        <v>-0.51082562376599072</v>
      </c>
      <c r="G246">
        <f t="shared" si="40"/>
        <v>0</v>
      </c>
      <c r="H246">
        <f t="shared" si="41"/>
        <v>0</v>
      </c>
      <c r="I246">
        <f t="shared" si="42"/>
        <v>1</v>
      </c>
      <c r="J246">
        <f t="shared" si="43"/>
        <v>0</v>
      </c>
      <c r="K246">
        <f t="shared" si="44"/>
        <v>0</v>
      </c>
      <c r="L246">
        <f t="shared" si="45"/>
        <v>0</v>
      </c>
      <c r="M246">
        <f t="shared" si="46"/>
        <v>0</v>
      </c>
      <c r="N246">
        <f t="shared" si="47"/>
        <v>-0.51082562376599072</v>
      </c>
      <c r="O246">
        <f t="shared" si="48"/>
        <v>0</v>
      </c>
      <c r="P246">
        <f t="shared" si="49"/>
        <v>0</v>
      </c>
    </row>
    <row r="247" spans="1:16">
      <c r="A247">
        <v>3421</v>
      </c>
      <c r="B247" s="7">
        <v>0.6</v>
      </c>
      <c r="C247" t="s">
        <v>47</v>
      </c>
      <c r="E247">
        <f t="shared" si="38"/>
        <v>8.1376881849776055</v>
      </c>
      <c r="F247" s="7">
        <f t="shared" si="39"/>
        <v>-0.51082562376599072</v>
      </c>
      <c r="G247">
        <f t="shared" si="40"/>
        <v>0</v>
      </c>
      <c r="H247">
        <f t="shared" si="41"/>
        <v>0</v>
      </c>
      <c r="I247">
        <f t="shared" si="42"/>
        <v>1</v>
      </c>
      <c r="J247">
        <f t="shared" si="43"/>
        <v>0</v>
      </c>
      <c r="K247">
        <f t="shared" si="44"/>
        <v>0</v>
      </c>
      <c r="L247">
        <f t="shared" si="45"/>
        <v>0</v>
      </c>
      <c r="M247">
        <f t="shared" si="46"/>
        <v>0</v>
      </c>
      <c r="N247">
        <f t="shared" si="47"/>
        <v>-0.51082562376599072</v>
      </c>
      <c r="O247">
        <f t="shared" si="48"/>
        <v>0</v>
      </c>
      <c r="P247">
        <f t="shared" si="49"/>
        <v>0</v>
      </c>
    </row>
    <row r="248" spans="1:16">
      <c r="A248">
        <v>3925</v>
      </c>
      <c r="B248" s="7">
        <v>0.6</v>
      </c>
      <c r="C248" t="s">
        <v>48</v>
      </c>
      <c r="E248">
        <f t="shared" si="38"/>
        <v>8.2751216302165087</v>
      </c>
      <c r="F248" s="7">
        <f t="shared" si="39"/>
        <v>-0.51082562376599072</v>
      </c>
      <c r="G248">
        <f t="shared" si="40"/>
        <v>0</v>
      </c>
      <c r="H248">
        <f t="shared" si="41"/>
        <v>0</v>
      </c>
      <c r="I248">
        <f t="shared" si="42"/>
        <v>0</v>
      </c>
      <c r="J248">
        <f t="shared" si="43"/>
        <v>1</v>
      </c>
      <c r="K248">
        <f t="shared" si="44"/>
        <v>0</v>
      </c>
      <c r="L248">
        <f t="shared" si="45"/>
        <v>0</v>
      </c>
      <c r="M248">
        <f t="shared" si="46"/>
        <v>0</v>
      </c>
      <c r="N248">
        <f t="shared" si="47"/>
        <v>0</v>
      </c>
      <c r="O248">
        <f t="shared" si="48"/>
        <v>-0.51082562376599072</v>
      </c>
      <c r="P248">
        <f t="shared" si="49"/>
        <v>0</v>
      </c>
    </row>
    <row r="249" spans="1:16">
      <c r="A249">
        <v>3616</v>
      </c>
      <c r="B249" s="7">
        <v>0.61</v>
      </c>
      <c r="C249" t="s">
        <v>48</v>
      </c>
      <c r="E249">
        <f t="shared" si="38"/>
        <v>8.1931237215120678</v>
      </c>
      <c r="F249" s="7">
        <f t="shared" si="39"/>
        <v>-0.49429632181478012</v>
      </c>
      <c r="G249">
        <f t="shared" si="40"/>
        <v>0</v>
      </c>
      <c r="H249">
        <f t="shared" si="41"/>
        <v>0</v>
      </c>
      <c r="I249">
        <f t="shared" si="42"/>
        <v>0</v>
      </c>
      <c r="J249">
        <f t="shared" si="43"/>
        <v>1</v>
      </c>
      <c r="K249">
        <f t="shared" si="44"/>
        <v>0</v>
      </c>
      <c r="L249">
        <f t="shared" si="45"/>
        <v>0</v>
      </c>
      <c r="M249">
        <f t="shared" si="46"/>
        <v>0</v>
      </c>
      <c r="N249">
        <f t="shared" si="47"/>
        <v>0</v>
      </c>
      <c r="O249">
        <f t="shared" si="48"/>
        <v>-0.49429632181478012</v>
      </c>
      <c r="P249">
        <f t="shared" si="49"/>
        <v>0</v>
      </c>
    </row>
    <row r="250" spans="1:16">
      <c r="A250">
        <v>3615</v>
      </c>
      <c r="B250" s="7">
        <v>0.62</v>
      </c>
      <c r="C250" t="s">
        <v>49</v>
      </c>
      <c r="E250">
        <f t="shared" si="38"/>
        <v>8.1928471345928653</v>
      </c>
      <c r="F250" s="7">
        <f t="shared" si="39"/>
        <v>-0.4780358009429998</v>
      </c>
      <c r="G250">
        <f t="shared" si="40"/>
        <v>0</v>
      </c>
      <c r="H250">
        <f t="shared" si="41"/>
        <v>0</v>
      </c>
      <c r="I250">
        <f t="shared" si="42"/>
        <v>0</v>
      </c>
      <c r="J250">
        <f t="shared" si="43"/>
        <v>0</v>
      </c>
      <c r="K250">
        <f t="shared" si="44"/>
        <v>1</v>
      </c>
      <c r="L250">
        <f t="shared" si="45"/>
        <v>0</v>
      </c>
      <c r="M250">
        <f t="shared" si="46"/>
        <v>0</v>
      </c>
      <c r="N250">
        <f t="shared" si="47"/>
        <v>0</v>
      </c>
      <c r="O250">
        <f t="shared" si="48"/>
        <v>0</v>
      </c>
      <c r="P250">
        <f t="shared" si="49"/>
        <v>-0.4780358009429998</v>
      </c>
    </row>
    <row r="251" spans="1:16">
      <c r="A251">
        <v>3785</v>
      </c>
      <c r="B251" s="7">
        <v>0.64</v>
      </c>
      <c r="C251" t="s">
        <v>48</v>
      </c>
      <c r="E251">
        <f t="shared" si="38"/>
        <v>8.2388011658715499</v>
      </c>
      <c r="F251" s="7">
        <f t="shared" si="39"/>
        <v>-0.44628710262841947</v>
      </c>
      <c r="G251">
        <f t="shared" si="40"/>
        <v>0</v>
      </c>
      <c r="H251">
        <f t="shared" si="41"/>
        <v>0</v>
      </c>
      <c r="I251">
        <f t="shared" si="42"/>
        <v>0</v>
      </c>
      <c r="J251">
        <f t="shared" si="43"/>
        <v>1</v>
      </c>
      <c r="K251">
        <f t="shared" si="44"/>
        <v>0</v>
      </c>
      <c r="L251">
        <f t="shared" si="45"/>
        <v>0</v>
      </c>
      <c r="M251">
        <f t="shared" si="46"/>
        <v>0</v>
      </c>
      <c r="N251">
        <f t="shared" si="47"/>
        <v>0</v>
      </c>
      <c r="O251">
        <f t="shared" si="48"/>
        <v>-0.44628710262841947</v>
      </c>
      <c r="P251">
        <f t="shared" si="49"/>
        <v>0</v>
      </c>
    </row>
    <row r="252" spans="1:16">
      <c r="A252">
        <v>3643</v>
      </c>
      <c r="B252" s="7">
        <v>0.65</v>
      </c>
      <c r="C252" t="s">
        <v>49</v>
      </c>
      <c r="E252">
        <f t="shared" si="38"/>
        <v>8.2005627970085637</v>
      </c>
      <c r="F252" s="7">
        <f t="shared" si="39"/>
        <v>-0.43078291609245423</v>
      </c>
      <c r="G252">
        <f t="shared" si="40"/>
        <v>0</v>
      </c>
      <c r="H252">
        <f t="shared" si="41"/>
        <v>0</v>
      </c>
      <c r="I252">
        <f t="shared" si="42"/>
        <v>0</v>
      </c>
      <c r="J252">
        <f t="shared" si="43"/>
        <v>0</v>
      </c>
      <c r="K252">
        <f t="shared" si="44"/>
        <v>1</v>
      </c>
      <c r="L252">
        <f t="shared" si="45"/>
        <v>0</v>
      </c>
      <c r="M252">
        <f t="shared" si="46"/>
        <v>0</v>
      </c>
      <c r="N252">
        <f t="shared" si="47"/>
        <v>0</v>
      </c>
      <c r="O252">
        <f t="shared" si="48"/>
        <v>0</v>
      </c>
      <c r="P252">
        <f t="shared" si="49"/>
        <v>-0.43078291609245423</v>
      </c>
    </row>
    <row r="253" spans="1:16">
      <c r="A253">
        <v>4300</v>
      </c>
      <c r="B253" s="7">
        <v>0.66</v>
      </c>
      <c r="C253" t="s">
        <v>48</v>
      </c>
      <c r="E253">
        <f t="shared" si="38"/>
        <v>8.3663703016816537</v>
      </c>
      <c r="F253" s="7">
        <f t="shared" si="39"/>
        <v>-0.41551544396166579</v>
      </c>
      <c r="G253">
        <f t="shared" si="40"/>
        <v>0</v>
      </c>
      <c r="H253">
        <f t="shared" si="41"/>
        <v>0</v>
      </c>
      <c r="I253">
        <f t="shared" si="42"/>
        <v>0</v>
      </c>
      <c r="J253">
        <f t="shared" si="43"/>
        <v>1</v>
      </c>
      <c r="K253">
        <f t="shared" si="44"/>
        <v>0</v>
      </c>
      <c r="L253">
        <f t="shared" si="45"/>
        <v>0</v>
      </c>
      <c r="M253">
        <f t="shared" si="46"/>
        <v>0</v>
      </c>
      <c r="N253">
        <f t="shared" si="47"/>
        <v>0</v>
      </c>
      <c r="O253">
        <f t="shared" si="48"/>
        <v>-0.41551544396166579</v>
      </c>
      <c r="P253">
        <f t="shared" si="49"/>
        <v>0</v>
      </c>
    </row>
    <row r="254" spans="1:16">
      <c r="A254">
        <v>6867</v>
      </c>
      <c r="B254" s="7">
        <v>0.7</v>
      </c>
      <c r="C254" t="s">
        <v>46</v>
      </c>
      <c r="E254">
        <f t="shared" si="38"/>
        <v>8.8344826086206769</v>
      </c>
      <c r="F254" s="7">
        <f t="shared" si="39"/>
        <v>-0.35667494393873245</v>
      </c>
      <c r="G254">
        <f t="shared" si="40"/>
        <v>1</v>
      </c>
      <c r="H254">
        <f t="shared" si="41"/>
        <v>0</v>
      </c>
      <c r="I254">
        <f t="shared" si="42"/>
        <v>0</v>
      </c>
      <c r="J254">
        <f t="shared" si="43"/>
        <v>0</v>
      </c>
      <c r="K254">
        <f t="shared" si="44"/>
        <v>0</v>
      </c>
      <c r="L254">
        <f t="shared" si="45"/>
        <v>-0.35667494393873245</v>
      </c>
      <c r="M254">
        <f t="shared" si="46"/>
        <v>0</v>
      </c>
      <c r="N254">
        <f t="shared" si="47"/>
        <v>0</v>
      </c>
      <c r="O254">
        <f t="shared" si="48"/>
        <v>0</v>
      </c>
      <c r="P254">
        <f t="shared" si="49"/>
        <v>0</v>
      </c>
    </row>
    <row r="255" spans="1:16">
      <c r="A255">
        <v>6285</v>
      </c>
      <c r="B255" s="7">
        <v>0.7</v>
      </c>
      <c r="C255" t="s">
        <v>46</v>
      </c>
      <c r="E255">
        <f t="shared" si="38"/>
        <v>8.745921121024347</v>
      </c>
      <c r="F255" s="7">
        <f t="shared" si="39"/>
        <v>-0.35667494393873245</v>
      </c>
      <c r="G255">
        <f t="shared" si="40"/>
        <v>1</v>
      </c>
      <c r="H255">
        <f t="shared" si="41"/>
        <v>0</v>
      </c>
      <c r="I255">
        <f t="shared" si="42"/>
        <v>0</v>
      </c>
      <c r="J255">
        <f t="shared" si="43"/>
        <v>0</v>
      </c>
      <c r="K255">
        <f t="shared" si="44"/>
        <v>0</v>
      </c>
      <c r="L255">
        <f t="shared" si="45"/>
        <v>-0.35667494393873245</v>
      </c>
      <c r="M255">
        <f t="shared" si="46"/>
        <v>0</v>
      </c>
      <c r="N255">
        <f t="shared" si="47"/>
        <v>0</v>
      </c>
      <c r="O255">
        <f t="shared" si="48"/>
        <v>0</v>
      </c>
      <c r="P255">
        <f t="shared" si="49"/>
        <v>0</v>
      </c>
    </row>
    <row r="256" spans="1:16">
      <c r="A256">
        <v>5800</v>
      </c>
      <c r="B256" s="7">
        <v>0.7</v>
      </c>
      <c r="C256" t="s">
        <v>47</v>
      </c>
      <c r="E256">
        <f t="shared" si="38"/>
        <v>8.66561319653451</v>
      </c>
      <c r="F256" s="7">
        <f t="shared" si="39"/>
        <v>-0.35667494393873245</v>
      </c>
      <c r="G256">
        <f t="shared" si="40"/>
        <v>0</v>
      </c>
      <c r="H256">
        <f t="shared" si="41"/>
        <v>0</v>
      </c>
      <c r="I256">
        <f t="shared" si="42"/>
        <v>1</v>
      </c>
      <c r="J256">
        <f t="shared" si="43"/>
        <v>0</v>
      </c>
      <c r="K256">
        <f t="shared" si="44"/>
        <v>0</v>
      </c>
      <c r="L256">
        <f t="shared" si="45"/>
        <v>0</v>
      </c>
      <c r="M256">
        <f t="shared" si="46"/>
        <v>0</v>
      </c>
      <c r="N256">
        <f t="shared" si="47"/>
        <v>-0.35667494393873245</v>
      </c>
      <c r="O256">
        <f t="shared" si="48"/>
        <v>0</v>
      </c>
      <c r="P256">
        <f t="shared" si="49"/>
        <v>0</v>
      </c>
    </row>
    <row r="257" spans="1:16">
      <c r="A257">
        <v>5510</v>
      </c>
      <c r="B257" s="7">
        <v>0.7</v>
      </c>
      <c r="C257" t="s">
        <v>47</v>
      </c>
      <c r="E257">
        <f t="shared" si="38"/>
        <v>8.6143199021469599</v>
      </c>
      <c r="F257" s="7">
        <f t="shared" si="39"/>
        <v>-0.35667494393873245</v>
      </c>
      <c r="G257">
        <f t="shared" si="40"/>
        <v>0</v>
      </c>
      <c r="H257">
        <f t="shared" si="41"/>
        <v>0</v>
      </c>
      <c r="I257">
        <f t="shared" si="42"/>
        <v>1</v>
      </c>
      <c r="J257">
        <f t="shared" si="43"/>
        <v>0</v>
      </c>
      <c r="K257">
        <f t="shared" si="44"/>
        <v>0</v>
      </c>
      <c r="L257">
        <f t="shared" si="45"/>
        <v>0</v>
      </c>
      <c r="M257">
        <f t="shared" si="46"/>
        <v>0</v>
      </c>
      <c r="N257">
        <f t="shared" si="47"/>
        <v>-0.35667494393873245</v>
      </c>
      <c r="O257">
        <f t="shared" si="48"/>
        <v>0</v>
      </c>
      <c r="P257">
        <f t="shared" si="49"/>
        <v>0</v>
      </c>
    </row>
    <row r="258" spans="1:16">
      <c r="A258">
        <v>4346</v>
      </c>
      <c r="B258" s="7">
        <v>0.7</v>
      </c>
      <c r="C258" t="s">
        <v>48</v>
      </c>
      <c r="E258">
        <f t="shared" si="38"/>
        <v>8.3770111608163749</v>
      </c>
      <c r="F258" s="7">
        <f t="shared" si="39"/>
        <v>-0.35667494393873245</v>
      </c>
      <c r="G258">
        <f t="shared" si="40"/>
        <v>0</v>
      </c>
      <c r="H258">
        <f t="shared" si="41"/>
        <v>0</v>
      </c>
      <c r="I258">
        <f t="shared" si="42"/>
        <v>0</v>
      </c>
      <c r="J258">
        <f t="shared" si="43"/>
        <v>1</v>
      </c>
      <c r="K258">
        <f t="shared" si="44"/>
        <v>0</v>
      </c>
      <c r="L258">
        <f t="shared" si="45"/>
        <v>0</v>
      </c>
      <c r="M258">
        <f t="shared" si="46"/>
        <v>0</v>
      </c>
      <c r="N258">
        <f t="shared" si="47"/>
        <v>0</v>
      </c>
      <c r="O258">
        <f t="shared" si="48"/>
        <v>-0.35667494393873245</v>
      </c>
      <c r="P258">
        <f t="shared" si="49"/>
        <v>0</v>
      </c>
    </row>
    <row r="259" spans="1:16">
      <c r="A259">
        <v>6372</v>
      </c>
      <c r="B259" s="7">
        <v>0.71</v>
      </c>
      <c r="C259" t="s">
        <v>47</v>
      </c>
      <c r="E259">
        <f t="shared" si="38"/>
        <v>8.7596686710299387</v>
      </c>
      <c r="F259" s="7">
        <f t="shared" si="39"/>
        <v>-0.34249030894677601</v>
      </c>
      <c r="G259">
        <f t="shared" si="40"/>
        <v>0</v>
      </c>
      <c r="H259">
        <f t="shared" si="41"/>
        <v>0</v>
      </c>
      <c r="I259">
        <f t="shared" si="42"/>
        <v>1</v>
      </c>
      <c r="J259">
        <f t="shared" si="43"/>
        <v>0</v>
      </c>
      <c r="K259">
        <f t="shared" si="44"/>
        <v>0</v>
      </c>
      <c r="L259">
        <f t="shared" si="45"/>
        <v>0</v>
      </c>
      <c r="M259">
        <f t="shared" si="46"/>
        <v>0</v>
      </c>
      <c r="N259">
        <f t="shared" si="47"/>
        <v>-0.34249030894677601</v>
      </c>
      <c r="O259">
        <f t="shared" si="48"/>
        <v>0</v>
      </c>
      <c r="P259">
        <f t="shared" si="49"/>
        <v>0</v>
      </c>
    </row>
    <row r="260" spans="1:16">
      <c r="A260">
        <v>5193</v>
      </c>
      <c r="B260" s="7">
        <v>0.71</v>
      </c>
      <c r="C260" t="s">
        <v>48</v>
      </c>
      <c r="E260">
        <f t="shared" si="38"/>
        <v>8.5550668438443189</v>
      </c>
      <c r="F260" s="7">
        <f t="shared" si="39"/>
        <v>-0.34249030894677601</v>
      </c>
      <c r="G260">
        <f t="shared" si="40"/>
        <v>0</v>
      </c>
      <c r="H260">
        <f t="shared" si="41"/>
        <v>0</v>
      </c>
      <c r="I260">
        <f t="shared" si="42"/>
        <v>0</v>
      </c>
      <c r="J260">
        <f t="shared" si="43"/>
        <v>1</v>
      </c>
      <c r="K260">
        <f t="shared" si="44"/>
        <v>0</v>
      </c>
      <c r="L260">
        <f t="shared" si="45"/>
        <v>0</v>
      </c>
      <c r="M260">
        <f t="shared" si="46"/>
        <v>0</v>
      </c>
      <c r="N260">
        <f t="shared" si="47"/>
        <v>0</v>
      </c>
      <c r="O260">
        <f t="shared" si="48"/>
        <v>-0.34249030894677601</v>
      </c>
      <c r="P260">
        <f t="shared" si="49"/>
        <v>0</v>
      </c>
    </row>
    <row r="261" spans="1:16">
      <c r="A261">
        <v>5662</v>
      </c>
      <c r="B261" s="7">
        <v>0.72</v>
      </c>
      <c r="C261" t="s">
        <v>48</v>
      </c>
      <c r="E261">
        <f t="shared" ref="E261:E311" si="50">LN(A261)</f>
        <v>8.6415324656718457</v>
      </c>
      <c r="F261" s="7">
        <f t="shared" ref="F261:F311" si="51">LN(B261)</f>
        <v>-0.3285040669720361</v>
      </c>
      <c r="G261">
        <f t="shared" ref="G261:G311" si="52">IF($C261="E",1,0)</f>
        <v>0</v>
      </c>
      <c r="H261">
        <f t="shared" ref="H261:H311" si="53">IF($C261="F",1,0)</f>
        <v>0</v>
      </c>
      <c r="I261">
        <f t="shared" ref="I261:I311" si="54">IF($C261="G",1,0)</f>
        <v>0</v>
      </c>
      <c r="J261">
        <f t="shared" ref="J261:J311" si="55">IF($C261="H",1,0)</f>
        <v>1</v>
      </c>
      <c r="K261">
        <f t="shared" ref="K261:K311" si="56">IF($C261="I",1,0)</f>
        <v>0</v>
      </c>
      <c r="L261">
        <f t="shared" ref="L261:L311" si="57">$F261*G261</f>
        <v>0</v>
      </c>
      <c r="M261">
        <f t="shared" ref="M261:M311" si="58">$F261*H261</f>
        <v>0</v>
      </c>
      <c r="N261">
        <f t="shared" ref="N261:N311" si="59">$F261*I261</f>
        <v>0</v>
      </c>
      <c r="O261">
        <f t="shared" ref="O261:O311" si="60">$F261*J261</f>
        <v>-0.3285040669720361</v>
      </c>
      <c r="P261">
        <f t="shared" ref="P261:P311" si="61">$F261*K261</f>
        <v>0</v>
      </c>
    </row>
    <row r="262" spans="1:16">
      <c r="A262">
        <v>5333</v>
      </c>
      <c r="B262" s="7">
        <v>0.73</v>
      </c>
      <c r="C262" t="s">
        <v>3</v>
      </c>
      <c r="E262">
        <f t="shared" si="50"/>
        <v>8.5816692106006016</v>
      </c>
      <c r="F262" s="7">
        <f t="shared" si="51"/>
        <v>-0.31471074483970024</v>
      </c>
      <c r="G262">
        <f t="shared" si="52"/>
        <v>0</v>
      </c>
      <c r="H262">
        <f t="shared" si="53"/>
        <v>1</v>
      </c>
      <c r="I262">
        <f t="shared" si="54"/>
        <v>0</v>
      </c>
      <c r="J262">
        <f t="shared" si="55"/>
        <v>0</v>
      </c>
      <c r="K262">
        <f t="shared" si="56"/>
        <v>0</v>
      </c>
      <c r="L262">
        <f t="shared" si="57"/>
        <v>0</v>
      </c>
      <c r="M262">
        <f t="shared" si="58"/>
        <v>-0.31471074483970024</v>
      </c>
      <c r="N262">
        <f t="shared" si="59"/>
        <v>0</v>
      </c>
      <c r="O262">
        <f t="shared" si="60"/>
        <v>0</v>
      </c>
      <c r="P262">
        <f t="shared" si="61"/>
        <v>0</v>
      </c>
    </row>
    <row r="263" spans="1:16">
      <c r="A263">
        <v>6041</v>
      </c>
      <c r="B263" s="7">
        <v>0.73</v>
      </c>
      <c r="C263" t="s">
        <v>47</v>
      </c>
      <c r="E263">
        <f t="shared" si="50"/>
        <v>8.7063248401387412</v>
      </c>
      <c r="F263" s="7">
        <f t="shared" si="51"/>
        <v>-0.31471074483970024</v>
      </c>
      <c r="G263">
        <f t="shared" si="52"/>
        <v>0</v>
      </c>
      <c r="H263">
        <f t="shared" si="53"/>
        <v>0</v>
      </c>
      <c r="I263">
        <f t="shared" si="54"/>
        <v>1</v>
      </c>
      <c r="J263">
        <f t="shared" si="55"/>
        <v>0</v>
      </c>
      <c r="K263">
        <f t="shared" si="56"/>
        <v>0</v>
      </c>
      <c r="L263">
        <f t="shared" si="57"/>
        <v>0</v>
      </c>
      <c r="M263">
        <f t="shared" si="58"/>
        <v>0</v>
      </c>
      <c r="N263">
        <f t="shared" si="59"/>
        <v>-0.31471074483970024</v>
      </c>
      <c r="O263">
        <f t="shared" si="60"/>
        <v>0</v>
      </c>
      <c r="P263">
        <f t="shared" si="61"/>
        <v>0</v>
      </c>
    </row>
    <row r="264" spans="1:16">
      <c r="A264">
        <v>5815</v>
      </c>
      <c r="B264" s="7">
        <v>0.74</v>
      </c>
      <c r="C264" t="s">
        <v>48</v>
      </c>
      <c r="E264">
        <f t="shared" si="50"/>
        <v>8.668196064952765</v>
      </c>
      <c r="F264" s="7">
        <f t="shared" si="51"/>
        <v>-0.30110509278392161</v>
      </c>
      <c r="G264">
        <f t="shared" si="52"/>
        <v>0</v>
      </c>
      <c r="H264">
        <f t="shared" si="53"/>
        <v>0</v>
      </c>
      <c r="I264">
        <f t="shared" si="54"/>
        <v>0</v>
      </c>
      <c r="J264">
        <f t="shared" si="55"/>
        <v>1</v>
      </c>
      <c r="K264">
        <f t="shared" si="56"/>
        <v>0</v>
      </c>
      <c r="L264">
        <f t="shared" si="57"/>
        <v>0</v>
      </c>
      <c r="M264">
        <f t="shared" si="58"/>
        <v>0</v>
      </c>
      <c r="N264">
        <f t="shared" si="59"/>
        <v>0</v>
      </c>
      <c r="O264">
        <f t="shared" si="60"/>
        <v>-0.30110509278392161</v>
      </c>
      <c r="P264">
        <f t="shared" si="61"/>
        <v>0</v>
      </c>
    </row>
    <row r="265" spans="1:16">
      <c r="A265">
        <v>8611</v>
      </c>
      <c r="B265" s="7">
        <v>0.8</v>
      </c>
      <c r="C265" t="s">
        <v>3</v>
      </c>
      <c r="E265">
        <f t="shared" si="50"/>
        <v>9.0607957346961658</v>
      </c>
      <c r="F265" s="7">
        <f t="shared" si="51"/>
        <v>-0.22314355131420971</v>
      </c>
      <c r="G265">
        <f t="shared" si="52"/>
        <v>0</v>
      </c>
      <c r="H265">
        <f t="shared" si="53"/>
        <v>1</v>
      </c>
      <c r="I265">
        <f t="shared" si="54"/>
        <v>0</v>
      </c>
      <c r="J265">
        <f t="shared" si="55"/>
        <v>0</v>
      </c>
      <c r="K265">
        <f t="shared" si="56"/>
        <v>0</v>
      </c>
      <c r="L265">
        <f t="shared" si="57"/>
        <v>0</v>
      </c>
      <c r="M265">
        <f t="shared" si="58"/>
        <v>-0.22314355131420971</v>
      </c>
      <c r="N265">
        <f t="shared" si="59"/>
        <v>0</v>
      </c>
      <c r="O265">
        <f t="shared" si="60"/>
        <v>0</v>
      </c>
      <c r="P265">
        <f t="shared" si="61"/>
        <v>0</v>
      </c>
    </row>
    <row r="266" spans="1:16">
      <c r="A266">
        <v>6905</v>
      </c>
      <c r="B266" s="7">
        <v>0.8</v>
      </c>
      <c r="C266" t="s">
        <v>3</v>
      </c>
      <c r="E266">
        <f t="shared" si="50"/>
        <v>8.8400010658433921</v>
      </c>
      <c r="F266" s="7">
        <f t="shared" si="51"/>
        <v>-0.22314355131420971</v>
      </c>
      <c r="G266">
        <f t="shared" si="52"/>
        <v>0</v>
      </c>
      <c r="H266">
        <f t="shared" si="53"/>
        <v>1</v>
      </c>
      <c r="I266">
        <f t="shared" si="54"/>
        <v>0</v>
      </c>
      <c r="J266">
        <f t="shared" si="55"/>
        <v>0</v>
      </c>
      <c r="K266">
        <f t="shared" si="56"/>
        <v>0</v>
      </c>
      <c r="L266">
        <f t="shared" si="57"/>
        <v>0</v>
      </c>
      <c r="M266">
        <f t="shared" si="58"/>
        <v>-0.22314355131420971</v>
      </c>
      <c r="N266">
        <f t="shared" si="59"/>
        <v>0</v>
      </c>
      <c r="O266">
        <f t="shared" si="60"/>
        <v>0</v>
      </c>
      <c r="P266">
        <f t="shared" si="61"/>
        <v>0</v>
      </c>
    </row>
    <row r="267" spans="1:16">
      <c r="A267">
        <v>6905</v>
      </c>
      <c r="B267" s="7">
        <v>0.8</v>
      </c>
      <c r="C267" t="s">
        <v>47</v>
      </c>
      <c r="E267">
        <f t="shared" si="50"/>
        <v>8.8400010658433921</v>
      </c>
      <c r="F267" s="7">
        <f t="shared" si="51"/>
        <v>-0.22314355131420971</v>
      </c>
      <c r="G267">
        <f t="shared" si="52"/>
        <v>0</v>
      </c>
      <c r="H267">
        <f t="shared" si="53"/>
        <v>0</v>
      </c>
      <c r="I267">
        <f t="shared" si="54"/>
        <v>1</v>
      </c>
      <c r="J267">
        <f t="shared" si="55"/>
        <v>0</v>
      </c>
      <c r="K267">
        <f t="shared" si="56"/>
        <v>0</v>
      </c>
      <c r="L267">
        <f t="shared" si="57"/>
        <v>0</v>
      </c>
      <c r="M267">
        <f t="shared" si="58"/>
        <v>0</v>
      </c>
      <c r="N267">
        <f t="shared" si="59"/>
        <v>-0.22314355131420971</v>
      </c>
      <c r="O267">
        <f t="shared" si="60"/>
        <v>0</v>
      </c>
      <c r="P267">
        <f t="shared" si="61"/>
        <v>0</v>
      </c>
    </row>
    <row r="268" spans="1:16">
      <c r="A268">
        <v>6416</v>
      </c>
      <c r="B268" s="7">
        <v>0.8</v>
      </c>
      <c r="C268" t="s">
        <v>48</v>
      </c>
      <c r="E268">
        <f t="shared" si="50"/>
        <v>8.7665501495463509</v>
      </c>
      <c r="F268" s="7">
        <f t="shared" si="51"/>
        <v>-0.22314355131420971</v>
      </c>
      <c r="G268">
        <f t="shared" si="52"/>
        <v>0</v>
      </c>
      <c r="H268">
        <f t="shared" si="53"/>
        <v>0</v>
      </c>
      <c r="I268">
        <f t="shared" si="54"/>
        <v>0</v>
      </c>
      <c r="J268">
        <f t="shared" si="55"/>
        <v>1</v>
      </c>
      <c r="K268">
        <f t="shared" si="56"/>
        <v>0</v>
      </c>
      <c r="L268">
        <f t="shared" si="57"/>
        <v>0</v>
      </c>
      <c r="M268">
        <f t="shared" si="58"/>
        <v>0</v>
      </c>
      <c r="N268">
        <f t="shared" si="59"/>
        <v>0</v>
      </c>
      <c r="O268">
        <f t="shared" si="60"/>
        <v>-0.22314355131420971</v>
      </c>
      <c r="P268">
        <f t="shared" si="61"/>
        <v>0</v>
      </c>
    </row>
    <row r="269" spans="1:16">
      <c r="A269">
        <v>6051</v>
      </c>
      <c r="B269" s="7">
        <v>0.8</v>
      </c>
      <c r="C269" t="s">
        <v>48</v>
      </c>
      <c r="E269">
        <f t="shared" si="50"/>
        <v>8.7079788266223215</v>
      </c>
      <c r="F269" s="7">
        <f t="shared" si="51"/>
        <v>-0.22314355131420971</v>
      </c>
      <c r="G269">
        <f t="shared" si="52"/>
        <v>0</v>
      </c>
      <c r="H269">
        <f t="shared" si="53"/>
        <v>0</v>
      </c>
      <c r="I269">
        <f t="shared" si="54"/>
        <v>0</v>
      </c>
      <c r="J269">
        <f t="shared" si="55"/>
        <v>1</v>
      </c>
      <c r="K269">
        <f t="shared" si="56"/>
        <v>0</v>
      </c>
      <c r="L269">
        <f t="shared" si="57"/>
        <v>0</v>
      </c>
      <c r="M269">
        <f t="shared" si="58"/>
        <v>0</v>
      </c>
      <c r="N269">
        <f t="shared" si="59"/>
        <v>0</v>
      </c>
      <c r="O269">
        <f t="shared" si="60"/>
        <v>-0.22314355131420971</v>
      </c>
      <c r="P269">
        <f t="shared" si="61"/>
        <v>0</v>
      </c>
    </row>
    <row r="270" spans="1:16">
      <c r="A270">
        <v>8715</v>
      </c>
      <c r="B270" s="7">
        <v>0.81</v>
      </c>
      <c r="C270" t="s">
        <v>46</v>
      </c>
      <c r="E270">
        <f t="shared" si="50"/>
        <v>9.0728009579541204</v>
      </c>
      <c r="F270" s="7">
        <f t="shared" si="51"/>
        <v>-0.21072103131565253</v>
      </c>
      <c r="G270">
        <f t="shared" si="52"/>
        <v>1</v>
      </c>
      <c r="H270">
        <f t="shared" si="53"/>
        <v>0</v>
      </c>
      <c r="I270">
        <f t="shared" si="54"/>
        <v>0</v>
      </c>
      <c r="J270">
        <f t="shared" si="55"/>
        <v>0</v>
      </c>
      <c r="K270">
        <f t="shared" si="56"/>
        <v>0</v>
      </c>
      <c r="L270">
        <f t="shared" si="57"/>
        <v>-0.21072103131565253</v>
      </c>
      <c r="M270">
        <f t="shared" si="58"/>
        <v>0</v>
      </c>
      <c r="N270">
        <f t="shared" si="59"/>
        <v>0</v>
      </c>
      <c r="O270">
        <f t="shared" si="60"/>
        <v>0</v>
      </c>
      <c r="P270">
        <f t="shared" si="61"/>
        <v>0</v>
      </c>
    </row>
    <row r="271" spans="1:16">
      <c r="A271">
        <v>6988</v>
      </c>
      <c r="B271" s="7">
        <v>0.81</v>
      </c>
      <c r="C271" t="s">
        <v>46</v>
      </c>
      <c r="E271">
        <f t="shared" si="50"/>
        <v>8.8519496712539478</v>
      </c>
      <c r="F271" s="7">
        <f t="shared" si="51"/>
        <v>-0.21072103131565253</v>
      </c>
      <c r="G271">
        <f t="shared" si="52"/>
        <v>1</v>
      </c>
      <c r="H271">
        <f t="shared" si="53"/>
        <v>0</v>
      </c>
      <c r="I271">
        <f t="shared" si="54"/>
        <v>0</v>
      </c>
      <c r="J271">
        <f t="shared" si="55"/>
        <v>0</v>
      </c>
      <c r="K271">
        <f t="shared" si="56"/>
        <v>0</v>
      </c>
      <c r="L271">
        <f t="shared" si="57"/>
        <v>-0.21072103131565253</v>
      </c>
      <c r="M271">
        <f t="shared" si="58"/>
        <v>0</v>
      </c>
      <c r="N271">
        <f t="shared" si="59"/>
        <v>0</v>
      </c>
      <c r="O271">
        <f t="shared" si="60"/>
        <v>0</v>
      </c>
      <c r="P271">
        <f t="shared" si="61"/>
        <v>0</v>
      </c>
    </row>
    <row r="272" spans="1:16">
      <c r="A272">
        <v>6988</v>
      </c>
      <c r="B272" s="7">
        <v>0.81</v>
      </c>
      <c r="C272" t="s">
        <v>3</v>
      </c>
      <c r="E272">
        <f t="shared" si="50"/>
        <v>8.8519496712539478</v>
      </c>
      <c r="F272" s="7">
        <f t="shared" si="51"/>
        <v>-0.21072103131565253</v>
      </c>
      <c r="G272">
        <f t="shared" si="52"/>
        <v>0</v>
      </c>
      <c r="H272">
        <f t="shared" si="53"/>
        <v>1</v>
      </c>
      <c r="I272">
        <f t="shared" si="54"/>
        <v>0</v>
      </c>
      <c r="J272">
        <f t="shared" si="55"/>
        <v>0</v>
      </c>
      <c r="K272">
        <f t="shared" si="56"/>
        <v>0</v>
      </c>
      <c r="L272">
        <f t="shared" si="57"/>
        <v>0</v>
      </c>
      <c r="M272">
        <f t="shared" si="58"/>
        <v>-0.21072103131565253</v>
      </c>
      <c r="N272">
        <f t="shared" si="59"/>
        <v>0</v>
      </c>
      <c r="O272">
        <f t="shared" si="60"/>
        <v>0</v>
      </c>
      <c r="P272">
        <f t="shared" si="61"/>
        <v>0</v>
      </c>
    </row>
    <row r="273" spans="1:16">
      <c r="A273">
        <v>6495</v>
      </c>
      <c r="B273" s="7">
        <v>0.81</v>
      </c>
      <c r="C273" t="s">
        <v>47</v>
      </c>
      <c r="E273">
        <f t="shared" si="50"/>
        <v>8.7787879291047002</v>
      </c>
      <c r="F273" s="7">
        <f t="shared" si="51"/>
        <v>-0.21072103131565253</v>
      </c>
      <c r="G273">
        <f t="shared" si="52"/>
        <v>0</v>
      </c>
      <c r="H273">
        <f t="shared" si="53"/>
        <v>0</v>
      </c>
      <c r="I273">
        <f t="shared" si="54"/>
        <v>1</v>
      </c>
      <c r="J273">
        <f t="shared" si="55"/>
        <v>0</v>
      </c>
      <c r="K273">
        <f t="shared" si="56"/>
        <v>0</v>
      </c>
      <c r="L273">
        <f t="shared" si="57"/>
        <v>0</v>
      </c>
      <c r="M273">
        <f t="shared" si="58"/>
        <v>0</v>
      </c>
      <c r="N273">
        <f t="shared" si="59"/>
        <v>-0.21072103131565253</v>
      </c>
      <c r="O273">
        <f t="shared" si="60"/>
        <v>0</v>
      </c>
      <c r="P273">
        <f t="shared" si="61"/>
        <v>0</v>
      </c>
    </row>
    <row r="274" spans="1:16">
      <c r="A274">
        <v>7358</v>
      </c>
      <c r="B274" s="7">
        <v>0.81</v>
      </c>
      <c r="C274" t="s">
        <v>48</v>
      </c>
      <c r="E274">
        <f t="shared" si="50"/>
        <v>8.9035434356647194</v>
      </c>
      <c r="F274" s="7">
        <f t="shared" si="51"/>
        <v>-0.21072103131565253</v>
      </c>
      <c r="G274">
        <f t="shared" si="52"/>
        <v>0</v>
      </c>
      <c r="H274">
        <f t="shared" si="53"/>
        <v>0</v>
      </c>
      <c r="I274">
        <f t="shared" si="54"/>
        <v>0</v>
      </c>
      <c r="J274">
        <f t="shared" si="55"/>
        <v>1</v>
      </c>
      <c r="K274">
        <f t="shared" si="56"/>
        <v>0</v>
      </c>
      <c r="L274">
        <f t="shared" si="57"/>
        <v>0</v>
      </c>
      <c r="M274">
        <f t="shared" si="58"/>
        <v>0</v>
      </c>
      <c r="N274">
        <f t="shared" si="59"/>
        <v>0</v>
      </c>
      <c r="O274">
        <f t="shared" si="60"/>
        <v>-0.21072103131565253</v>
      </c>
      <c r="P274">
        <f t="shared" si="61"/>
        <v>0</v>
      </c>
    </row>
    <row r="275" spans="1:16">
      <c r="A275">
        <v>6572</v>
      </c>
      <c r="B275" s="7">
        <v>0.82</v>
      </c>
      <c r="C275" t="s">
        <v>3</v>
      </c>
      <c r="E275">
        <f t="shared" si="50"/>
        <v>8.7905734791571586</v>
      </c>
      <c r="F275" s="7">
        <f t="shared" si="51"/>
        <v>-0.19845093872383832</v>
      </c>
      <c r="G275">
        <f t="shared" si="52"/>
        <v>0</v>
      </c>
      <c r="H275">
        <f t="shared" si="53"/>
        <v>1</v>
      </c>
      <c r="I275">
        <f t="shared" si="54"/>
        <v>0</v>
      </c>
      <c r="J275">
        <f t="shared" si="55"/>
        <v>0</v>
      </c>
      <c r="K275">
        <f t="shared" si="56"/>
        <v>0</v>
      </c>
      <c r="L275">
        <f t="shared" si="57"/>
        <v>0</v>
      </c>
      <c r="M275">
        <f t="shared" si="58"/>
        <v>-0.19845093872383832</v>
      </c>
      <c r="N275">
        <f t="shared" si="59"/>
        <v>0</v>
      </c>
      <c r="O275">
        <f t="shared" si="60"/>
        <v>0</v>
      </c>
      <c r="P275">
        <f t="shared" si="61"/>
        <v>0</v>
      </c>
    </row>
    <row r="276" spans="1:16">
      <c r="A276">
        <v>7072</v>
      </c>
      <c r="B276" s="7">
        <v>0.82</v>
      </c>
      <c r="C276" t="s">
        <v>47</v>
      </c>
      <c r="E276">
        <f t="shared" si="50"/>
        <v>8.8638986043174786</v>
      </c>
      <c r="F276" s="7">
        <f t="shared" si="51"/>
        <v>-0.19845093872383832</v>
      </c>
      <c r="G276">
        <f t="shared" si="52"/>
        <v>0</v>
      </c>
      <c r="H276">
        <f t="shared" si="53"/>
        <v>0</v>
      </c>
      <c r="I276">
        <f t="shared" si="54"/>
        <v>1</v>
      </c>
      <c r="J276">
        <f t="shared" si="55"/>
        <v>0</v>
      </c>
      <c r="K276">
        <f t="shared" si="56"/>
        <v>0</v>
      </c>
      <c r="L276">
        <f t="shared" si="57"/>
        <v>0</v>
      </c>
      <c r="M276">
        <f t="shared" si="58"/>
        <v>0</v>
      </c>
      <c r="N276">
        <f t="shared" si="59"/>
        <v>-0.19845093872383832</v>
      </c>
      <c r="O276">
        <f t="shared" si="60"/>
        <v>0</v>
      </c>
      <c r="P276">
        <f t="shared" si="61"/>
        <v>0</v>
      </c>
    </row>
    <row r="277" spans="1:16">
      <c r="A277">
        <v>8359</v>
      </c>
      <c r="B277" s="7">
        <v>0.85</v>
      </c>
      <c r="C277" t="s">
        <v>3</v>
      </c>
      <c r="E277">
        <f t="shared" si="50"/>
        <v>9.0310940816991554</v>
      </c>
      <c r="F277" s="7">
        <f t="shared" si="51"/>
        <v>-0.16251892949777494</v>
      </c>
      <c r="G277">
        <f t="shared" si="52"/>
        <v>0</v>
      </c>
      <c r="H277">
        <f t="shared" si="53"/>
        <v>1</v>
      </c>
      <c r="I277">
        <f t="shared" si="54"/>
        <v>0</v>
      </c>
      <c r="J277">
        <f t="shared" si="55"/>
        <v>0</v>
      </c>
      <c r="K277">
        <f t="shared" si="56"/>
        <v>0</v>
      </c>
      <c r="L277">
        <f t="shared" si="57"/>
        <v>0</v>
      </c>
      <c r="M277">
        <f t="shared" si="58"/>
        <v>-0.16251892949777494</v>
      </c>
      <c r="N277">
        <f t="shared" si="59"/>
        <v>0</v>
      </c>
      <c r="O277">
        <f t="shared" si="60"/>
        <v>0</v>
      </c>
      <c r="P277">
        <f t="shared" si="61"/>
        <v>0</v>
      </c>
    </row>
    <row r="278" spans="1:16">
      <c r="A278">
        <v>6805</v>
      </c>
      <c r="B278" s="7">
        <v>0.85</v>
      </c>
      <c r="C278" t="s">
        <v>3</v>
      </c>
      <c r="E278">
        <f t="shared" si="50"/>
        <v>8.8254129150855665</v>
      </c>
      <c r="F278" s="7">
        <f t="shared" si="51"/>
        <v>-0.16251892949777494</v>
      </c>
      <c r="G278">
        <f t="shared" si="52"/>
        <v>0</v>
      </c>
      <c r="H278">
        <f t="shared" si="53"/>
        <v>1</v>
      </c>
      <c r="I278">
        <f t="shared" si="54"/>
        <v>0</v>
      </c>
      <c r="J278">
        <f t="shared" si="55"/>
        <v>0</v>
      </c>
      <c r="K278">
        <f t="shared" si="56"/>
        <v>0</v>
      </c>
      <c r="L278">
        <f t="shared" si="57"/>
        <v>0</v>
      </c>
      <c r="M278">
        <f t="shared" si="58"/>
        <v>-0.16251892949777494</v>
      </c>
      <c r="N278">
        <f t="shared" si="59"/>
        <v>0</v>
      </c>
      <c r="O278">
        <f t="shared" si="60"/>
        <v>0</v>
      </c>
      <c r="P278">
        <f t="shared" si="61"/>
        <v>0</v>
      </c>
    </row>
    <row r="279" spans="1:16">
      <c r="A279">
        <v>7711</v>
      </c>
      <c r="B279" s="7">
        <v>0.85</v>
      </c>
      <c r="C279" t="s">
        <v>47</v>
      </c>
      <c r="E279">
        <f t="shared" si="50"/>
        <v>8.9504031598329608</v>
      </c>
      <c r="F279" s="7">
        <f t="shared" si="51"/>
        <v>-0.16251892949777494</v>
      </c>
      <c r="G279">
        <f t="shared" si="52"/>
        <v>0</v>
      </c>
      <c r="H279">
        <f t="shared" si="53"/>
        <v>0</v>
      </c>
      <c r="I279">
        <f t="shared" si="54"/>
        <v>1</v>
      </c>
      <c r="J279">
        <f t="shared" si="55"/>
        <v>0</v>
      </c>
      <c r="K279">
        <f t="shared" si="56"/>
        <v>0</v>
      </c>
      <c r="L279">
        <f t="shared" si="57"/>
        <v>0</v>
      </c>
      <c r="M279">
        <f t="shared" si="58"/>
        <v>0</v>
      </c>
      <c r="N279">
        <f t="shared" si="59"/>
        <v>-0.16251892949777494</v>
      </c>
      <c r="O279">
        <f t="shared" si="60"/>
        <v>0</v>
      </c>
      <c r="P279">
        <f t="shared" si="61"/>
        <v>0</v>
      </c>
    </row>
    <row r="280" spans="1:16">
      <c r="A280">
        <v>5835</v>
      </c>
      <c r="B280" s="7">
        <v>0.86</v>
      </c>
      <c r="C280" t="s">
        <v>48</v>
      </c>
      <c r="E280">
        <f t="shared" si="50"/>
        <v>8.6716295447206555</v>
      </c>
      <c r="F280" s="7">
        <f t="shared" si="51"/>
        <v>-0.15082288973458366</v>
      </c>
      <c r="G280">
        <f t="shared" si="52"/>
        <v>0</v>
      </c>
      <c r="H280">
        <f t="shared" si="53"/>
        <v>0</v>
      </c>
      <c r="I280">
        <f t="shared" si="54"/>
        <v>0</v>
      </c>
      <c r="J280">
        <f t="shared" si="55"/>
        <v>1</v>
      </c>
      <c r="K280">
        <f t="shared" si="56"/>
        <v>0</v>
      </c>
      <c r="L280">
        <f t="shared" si="57"/>
        <v>0</v>
      </c>
      <c r="M280">
        <f t="shared" si="58"/>
        <v>0</v>
      </c>
      <c r="N280">
        <f t="shared" si="59"/>
        <v>0</v>
      </c>
      <c r="O280">
        <f t="shared" si="60"/>
        <v>-0.15082288973458366</v>
      </c>
      <c r="P280">
        <f t="shared" si="61"/>
        <v>0</v>
      </c>
    </row>
    <row r="281" spans="1:16">
      <c r="A281">
        <v>13775</v>
      </c>
      <c r="B281" s="7">
        <v>1</v>
      </c>
      <c r="C281" t="s">
        <v>45</v>
      </c>
      <c r="E281">
        <f t="shared" si="50"/>
        <v>9.5306106340211159</v>
      </c>
      <c r="F281" s="7">
        <f t="shared" si="51"/>
        <v>0</v>
      </c>
      <c r="G281">
        <f t="shared" si="52"/>
        <v>0</v>
      </c>
      <c r="H281">
        <f t="shared" si="53"/>
        <v>0</v>
      </c>
      <c r="I281">
        <f t="shared" si="54"/>
        <v>0</v>
      </c>
      <c r="J281">
        <f t="shared" si="55"/>
        <v>0</v>
      </c>
      <c r="K281">
        <f t="shared" si="56"/>
        <v>0</v>
      </c>
      <c r="L281">
        <f t="shared" si="57"/>
        <v>0</v>
      </c>
      <c r="M281">
        <f t="shared" si="58"/>
        <v>0</v>
      </c>
      <c r="N281">
        <f t="shared" si="59"/>
        <v>0</v>
      </c>
      <c r="O281">
        <f t="shared" si="60"/>
        <v>0</v>
      </c>
      <c r="P281">
        <f t="shared" si="61"/>
        <v>0</v>
      </c>
    </row>
    <row r="282" spans="1:16">
      <c r="A282">
        <v>14051</v>
      </c>
      <c r="B282" s="7">
        <v>1</v>
      </c>
      <c r="C282" t="s">
        <v>46</v>
      </c>
      <c r="E282">
        <f t="shared" si="50"/>
        <v>9.55044884660634</v>
      </c>
      <c r="F282" s="7">
        <f t="shared" si="51"/>
        <v>0</v>
      </c>
      <c r="G282">
        <f t="shared" si="52"/>
        <v>1</v>
      </c>
      <c r="H282">
        <f t="shared" si="53"/>
        <v>0</v>
      </c>
      <c r="I282">
        <f t="shared" si="54"/>
        <v>0</v>
      </c>
      <c r="J282">
        <f t="shared" si="55"/>
        <v>0</v>
      </c>
      <c r="K282">
        <f t="shared" si="56"/>
        <v>0</v>
      </c>
      <c r="L282">
        <f t="shared" si="57"/>
        <v>0</v>
      </c>
      <c r="M282">
        <f t="shared" si="58"/>
        <v>0</v>
      </c>
      <c r="N282">
        <f t="shared" si="59"/>
        <v>0</v>
      </c>
      <c r="O282">
        <f t="shared" si="60"/>
        <v>0</v>
      </c>
      <c r="P282">
        <f t="shared" si="61"/>
        <v>0</v>
      </c>
    </row>
    <row r="283" spans="1:16">
      <c r="A283">
        <v>11419</v>
      </c>
      <c r="B283" s="7">
        <v>1</v>
      </c>
      <c r="C283" t="s">
        <v>46</v>
      </c>
      <c r="E283">
        <f t="shared" si="50"/>
        <v>9.3430339137016478</v>
      </c>
      <c r="F283" s="7">
        <f t="shared" si="51"/>
        <v>0</v>
      </c>
      <c r="G283">
        <f t="shared" si="52"/>
        <v>1</v>
      </c>
      <c r="H283">
        <f t="shared" si="53"/>
        <v>0</v>
      </c>
      <c r="I283">
        <f t="shared" si="54"/>
        <v>0</v>
      </c>
      <c r="J283">
        <f t="shared" si="55"/>
        <v>0</v>
      </c>
      <c r="K283">
        <f t="shared" si="56"/>
        <v>0</v>
      </c>
      <c r="L283">
        <f t="shared" si="57"/>
        <v>0</v>
      </c>
      <c r="M283">
        <f t="shared" si="58"/>
        <v>0</v>
      </c>
      <c r="N283">
        <f t="shared" si="59"/>
        <v>0</v>
      </c>
      <c r="O283">
        <f t="shared" si="60"/>
        <v>0</v>
      </c>
      <c r="P283">
        <f t="shared" si="61"/>
        <v>0</v>
      </c>
    </row>
    <row r="284" spans="1:16">
      <c r="A284">
        <v>10588</v>
      </c>
      <c r="B284" s="7">
        <v>1</v>
      </c>
      <c r="C284" t="s">
        <v>46</v>
      </c>
      <c r="E284">
        <f t="shared" si="50"/>
        <v>9.2674765633469924</v>
      </c>
      <c r="F284" s="7">
        <f t="shared" si="51"/>
        <v>0</v>
      </c>
      <c r="G284">
        <f t="shared" si="52"/>
        <v>1</v>
      </c>
      <c r="H284">
        <f t="shared" si="53"/>
        <v>0</v>
      </c>
      <c r="I284">
        <f t="shared" si="54"/>
        <v>0</v>
      </c>
      <c r="J284">
        <f t="shared" si="55"/>
        <v>0</v>
      </c>
      <c r="K284">
        <f t="shared" si="56"/>
        <v>0</v>
      </c>
      <c r="L284">
        <f t="shared" si="57"/>
        <v>0</v>
      </c>
      <c r="M284">
        <f t="shared" si="58"/>
        <v>0</v>
      </c>
      <c r="N284">
        <f t="shared" si="59"/>
        <v>0</v>
      </c>
      <c r="O284">
        <f t="shared" si="60"/>
        <v>0</v>
      </c>
      <c r="P284">
        <f t="shared" si="61"/>
        <v>0</v>
      </c>
    </row>
    <row r="285" spans="1:16">
      <c r="A285">
        <v>11696</v>
      </c>
      <c r="B285" s="7">
        <v>1</v>
      </c>
      <c r="C285" t="s">
        <v>3</v>
      </c>
      <c r="E285">
        <f t="shared" si="50"/>
        <v>9.3670021819895606</v>
      </c>
      <c r="F285" s="7">
        <f t="shared" si="51"/>
        <v>0</v>
      </c>
      <c r="G285">
        <f t="shared" si="52"/>
        <v>0</v>
      </c>
      <c r="H285">
        <f t="shared" si="53"/>
        <v>1</v>
      </c>
      <c r="I285">
        <f t="shared" si="54"/>
        <v>0</v>
      </c>
      <c r="J285">
        <f t="shared" si="55"/>
        <v>0</v>
      </c>
      <c r="K285">
        <f t="shared" si="56"/>
        <v>0</v>
      </c>
      <c r="L285">
        <f t="shared" si="57"/>
        <v>0</v>
      </c>
      <c r="M285">
        <f t="shared" si="58"/>
        <v>0</v>
      </c>
      <c r="N285">
        <f t="shared" si="59"/>
        <v>0</v>
      </c>
      <c r="O285">
        <f t="shared" si="60"/>
        <v>0</v>
      </c>
      <c r="P285">
        <f t="shared" si="61"/>
        <v>0</v>
      </c>
    </row>
    <row r="286" spans="1:16">
      <c r="A286">
        <v>10588</v>
      </c>
      <c r="B286" s="7">
        <v>1</v>
      </c>
      <c r="C286" t="s">
        <v>3</v>
      </c>
      <c r="E286">
        <f t="shared" si="50"/>
        <v>9.2674765633469924</v>
      </c>
      <c r="F286" s="7">
        <f t="shared" si="51"/>
        <v>0</v>
      </c>
      <c r="G286">
        <f t="shared" si="52"/>
        <v>0</v>
      </c>
      <c r="H286">
        <f t="shared" si="53"/>
        <v>1</v>
      </c>
      <c r="I286">
        <f t="shared" si="54"/>
        <v>0</v>
      </c>
      <c r="J286">
        <f t="shared" si="55"/>
        <v>0</v>
      </c>
      <c r="K286">
        <f t="shared" si="56"/>
        <v>0</v>
      </c>
      <c r="L286">
        <f t="shared" si="57"/>
        <v>0</v>
      </c>
      <c r="M286">
        <f t="shared" si="58"/>
        <v>0</v>
      </c>
      <c r="N286">
        <f t="shared" si="59"/>
        <v>0</v>
      </c>
      <c r="O286">
        <f t="shared" si="60"/>
        <v>0</v>
      </c>
      <c r="P286">
        <f t="shared" si="61"/>
        <v>0</v>
      </c>
    </row>
    <row r="287" spans="1:16">
      <c r="A287">
        <v>10450</v>
      </c>
      <c r="B287" s="7">
        <v>1</v>
      </c>
      <c r="C287" t="s">
        <v>47</v>
      </c>
      <c r="E287">
        <f t="shared" si="50"/>
        <v>9.2543572573929573</v>
      </c>
      <c r="F287" s="7">
        <f t="shared" si="51"/>
        <v>0</v>
      </c>
      <c r="G287">
        <f t="shared" si="52"/>
        <v>0</v>
      </c>
      <c r="H287">
        <f t="shared" si="53"/>
        <v>0</v>
      </c>
      <c r="I287">
        <f t="shared" si="54"/>
        <v>1</v>
      </c>
      <c r="J287">
        <f t="shared" si="55"/>
        <v>0</v>
      </c>
      <c r="K287">
        <f t="shared" si="56"/>
        <v>0</v>
      </c>
      <c r="L287">
        <f t="shared" si="57"/>
        <v>0</v>
      </c>
      <c r="M287">
        <f t="shared" si="58"/>
        <v>0</v>
      </c>
      <c r="N287">
        <f t="shared" si="59"/>
        <v>0</v>
      </c>
      <c r="O287">
        <f t="shared" si="60"/>
        <v>0</v>
      </c>
      <c r="P287">
        <f t="shared" si="61"/>
        <v>0</v>
      </c>
    </row>
    <row r="288" spans="1:16">
      <c r="A288">
        <v>9896</v>
      </c>
      <c r="B288" s="7">
        <v>1</v>
      </c>
      <c r="C288" t="s">
        <v>47</v>
      </c>
      <c r="E288">
        <f t="shared" si="50"/>
        <v>9.1998859140723237</v>
      </c>
      <c r="F288" s="7">
        <f t="shared" si="51"/>
        <v>0</v>
      </c>
      <c r="G288">
        <f t="shared" si="52"/>
        <v>0</v>
      </c>
      <c r="H288">
        <f t="shared" si="53"/>
        <v>0</v>
      </c>
      <c r="I288">
        <f t="shared" si="54"/>
        <v>1</v>
      </c>
      <c r="J288">
        <f t="shared" si="55"/>
        <v>0</v>
      </c>
      <c r="K288">
        <f t="shared" si="56"/>
        <v>0</v>
      </c>
      <c r="L288">
        <f t="shared" si="57"/>
        <v>0</v>
      </c>
      <c r="M288">
        <f t="shared" si="58"/>
        <v>0</v>
      </c>
      <c r="N288">
        <f t="shared" si="59"/>
        <v>0</v>
      </c>
      <c r="O288">
        <f t="shared" si="60"/>
        <v>0</v>
      </c>
      <c r="P288">
        <f t="shared" si="61"/>
        <v>0</v>
      </c>
    </row>
    <row r="289" spans="1:16">
      <c r="A289">
        <v>9203</v>
      </c>
      <c r="B289" s="7">
        <v>1</v>
      </c>
      <c r="C289" t="s">
        <v>47</v>
      </c>
      <c r="E289">
        <f t="shared" si="50"/>
        <v>9.1272847968388575</v>
      </c>
      <c r="F289" s="7">
        <f t="shared" si="51"/>
        <v>0</v>
      </c>
      <c r="G289">
        <f t="shared" si="52"/>
        <v>0</v>
      </c>
      <c r="H289">
        <f t="shared" si="53"/>
        <v>0</v>
      </c>
      <c r="I289">
        <f t="shared" si="54"/>
        <v>1</v>
      </c>
      <c r="J289">
        <f t="shared" si="55"/>
        <v>0</v>
      </c>
      <c r="K289">
        <f t="shared" si="56"/>
        <v>0</v>
      </c>
      <c r="L289">
        <f t="shared" si="57"/>
        <v>0</v>
      </c>
      <c r="M289">
        <f t="shared" si="58"/>
        <v>0</v>
      </c>
      <c r="N289">
        <f t="shared" si="59"/>
        <v>0</v>
      </c>
      <c r="O289">
        <f t="shared" si="60"/>
        <v>0</v>
      </c>
      <c r="P289">
        <f t="shared" si="61"/>
        <v>0</v>
      </c>
    </row>
    <row r="290" spans="1:16">
      <c r="A290">
        <v>9480</v>
      </c>
      <c r="B290" s="7">
        <v>1</v>
      </c>
      <c r="C290" t="s">
        <v>48</v>
      </c>
      <c r="E290">
        <f t="shared" si="50"/>
        <v>9.1569395952490673</v>
      </c>
      <c r="F290" s="7">
        <f t="shared" si="51"/>
        <v>0</v>
      </c>
      <c r="G290">
        <f t="shared" si="52"/>
        <v>0</v>
      </c>
      <c r="H290">
        <f t="shared" si="53"/>
        <v>0</v>
      </c>
      <c r="I290">
        <f t="shared" si="54"/>
        <v>0</v>
      </c>
      <c r="J290">
        <f t="shared" si="55"/>
        <v>1</v>
      </c>
      <c r="K290">
        <f t="shared" si="56"/>
        <v>0</v>
      </c>
      <c r="L290">
        <f t="shared" si="57"/>
        <v>0</v>
      </c>
      <c r="M290">
        <f t="shared" si="58"/>
        <v>0</v>
      </c>
      <c r="N290">
        <f t="shared" si="59"/>
        <v>0</v>
      </c>
      <c r="O290">
        <f t="shared" si="60"/>
        <v>0</v>
      </c>
      <c r="P290">
        <f t="shared" si="61"/>
        <v>0</v>
      </c>
    </row>
    <row r="291" spans="1:16">
      <c r="A291">
        <v>9065</v>
      </c>
      <c r="B291" s="7">
        <v>1</v>
      </c>
      <c r="C291" t="s">
        <v>48</v>
      </c>
      <c r="E291">
        <f t="shared" si="50"/>
        <v>9.1121761231889522</v>
      </c>
      <c r="F291" s="7">
        <f t="shared" si="51"/>
        <v>0</v>
      </c>
      <c r="G291">
        <f t="shared" si="52"/>
        <v>0</v>
      </c>
      <c r="H291">
        <f t="shared" si="53"/>
        <v>0</v>
      </c>
      <c r="I291">
        <f t="shared" si="54"/>
        <v>0</v>
      </c>
      <c r="J291">
        <f t="shared" si="55"/>
        <v>1</v>
      </c>
      <c r="K291">
        <f t="shared" si="56"/>
        <v>0</v>
      </c>
      <c r="L291">
        <f t="shared" si="57"/>
        <v>0</v>
      </c>
      <c r="M291">
        <f t="shared" si="58"/>
        <v>0</v>
      </c>
      <c r="N291">
        <f t="shared" si="59"/>
        <v>0</v>
      </c>
      <c r="O291">
        <f t="shared" si="60"/>
        <v>0</v>
      </c>
      <c r="P291">
        <f t="shared" si="61"/>
        <v>0</v>
      </c>
    </row>
    <row r="292" spans="1:16">
      <c r="A292">
        <v>8788</v>
      </c>
      <c r="B292" s="7">
        <v>1</v>
      </c>
      <c r="C292" t="s">
        <v>48</v>
      </c>
      <c r="E292">
        <f t="shared" si="50"/>
        <v>9.0811424335045015</v>
      </c>
      <c r="F292" s="7">
        <f t="shared" si="51"/>
        <v>0</v>
      </c>
      <c r="G292">
        <f t="shared" si="52"/>
        <v>0</v>
      </c>
      <c r="H292">
        <f t="shared" si="53"/>
        <v>0</v>
      </c>
      <c r="I292">
        <f t="shared" si="54"/>
        <v>0</v>
      </c>
      <c r="J292">
        <f t="shared" si="55"/>
        <v>1</v>
      </c>
      <c r="K292">
        <f t="shared" si="56"/>
        <v>0</v>
      </c>
      <c r="L292">
        <f t="shared" si="57"/>
        <v>0</v>
      </c>
      <c r="M292">
        <f t="shared" si="58"/>
        <v>0</v>
      </c>
      <c r="N292">
        <f t="shared" si="59"/>
        <v>0</v>
      </c>
      <c r="O292">
        <f t="shared" si="60"/>
        <v>0</v>
      </c>
      <c r="P292">
        <f t="shared" si="61"/>
        <v>0</v>
      </c>
    </row>
    <row r="293" spans="1:16">
      <c r="A293">
        <v>8788</v>
      </c>
      <c r="B293" s="7">
        <v>1</v>
      </c>
      <c r="C293" t="s">
        <v>49</v>
      </c>
      <c r="E293">
        <f t="shared" si="50"/>
        <v>9.0811424335045015</v>
      </c>
      <c r="F293" s="7">
        <f t="shared" si="51"/>
        <v>0</v>
      </c>
      <c r="G293">
        <f t="shared" si="52"/>
        <v>0</v>
      </c>
      <c r="H293">
        <f t="shared" si="53"/>
        <v>0</v>
      </c>
      <c r="I293">
        <f t="shared" si="54"/>
        <v>0</v>
      </c>
      <c r="J293">
        <f t="shared" si="55"/>
        <v>0</v>
      </c>
      <c r="K293">
        <f t="shared" si="56"/>
        <v>1</v>
      </c>
      <c r="L293">
        <f t="shared" si="57"/>
        <v>0</v>
      </c>
      <c r="M293">
        <f t="shared" si="58"/>
        <v>0</v>
      </c>
      <c r="N293">
        <f t="shared" si="59"/>
        <v>0</v>
      </c>
      <c r="O293">
        <f t="shared" si="60"/>
        <v>0</v>
      </c>
      <c r="P293">
        <f t="shared" si="61"/>
        <v>0</v>
      </c>
    </row>
    <row r="294" spans="1:16">
      <c r="A294">
        <v>8372</v>
      </c>
      <c r="B294" s="7">
        <v>1</v>
      </c>
      <c r="C294" t="s">
        <v>49</v>
      </c>
      <c r="E294">
        <f t="shared" si="50"/>
        <v>9.0326480835658902</v>
      </c>
      <c r="F294" s="7">
        <f t="shared" si="51"/>
        <v>0</v>
      </c>
      <c r="G294">
        <f t="shared" si="52"/>
        <v>0</v>
      </c>
      <c r="H294">
        <f t="shared" si="53"/>
        <v>0</v>
      </c>
      <c r="I294">
        <f t="shared" si="54"/>
        <v>0</v>
      </c>
      <c r="J294">
        <f t="shared" si="55"/>
        <v>0</v>
      </c>
      <c r="K294">
        <f t="shared" si="56"/>
        <v>1</v>
      </c>
      <c r="L294">
        <f t="shared" si="57"/>
        <v>0</v>
      </c>
      <c r="M294">
        <f t="shared" si="58"/>
        <v>0</v>
      </c>
      <c r="N294">
        <f t="shared" si="59"/>
        <v>0</v>
      </c>
      <c r="O294">
        <f t="shared" si="60"/>
        <v>0</v>
      </c>
      <c r="P294">
        <f t="shared" si="61"/>
        <v>0</v>
      </c>
    </row>
    <row r="295" spans="1:16">
      <c r="A295">
        <v>8095</v>
      </c>
      <c r="B295" s="7">
        <v>1</v>
      </c>
      <c r="C295" t="s">
        <v>49</v>
      </c>
      <c r="E295">
        <f t="shared" si="50"/>
        <v>8.999001866111735</v>
      </c>
      <c r="F295" s="7">
        <f t="shared" si="51"/>
        <v>0</v>
      </c>
      <c r="G295">
        <f t="shared" si="52"/>
        <v>0</v>
      </c>
      <c r="H295">
        <f t="shared" si="53"/>
        <v>0</v>
      </c>
      <c r="I295">
        <f t="shared" si="54"/>
        <v>0</v>
      </c>
      <c r="J295">
        <f t="shared" si="55"/>
        <v>0</v>
      </c>
      <c r="K295">
        <f t="shared" si="56"/>
        <v>1</v>
      </c>
      <c r="L295">
        <f t="shared" si="57"/>
        <v>0</v>
      </c>
      <c r="M295">
        <f t="shared" si="58"/>
        <v>0</v>
      </c>
      <c r="N295">
        <f t="shared" si="59"/>
        <v>0</v>
      </c>
      <c r="O295">
        <f t="shared" si="60"/>
        <v>0</v>
      </c>
      <c r="P295">
        <f t="shared" si="61"/>
        <v>0</v>
      </c>
    </row>
    <row r="296" spans="1:16">
      <c r="A296">
        <v>7818</v>
      </c>
      <c r="B296" s="7">
        <v>1</v>
      </c>
      <c r="C296" t="s">
        <v>49</v>
      </c>
      <c r="E296">
        <f t="shared" si="50"/>
        <v>8.9641840463528997</v>
      </c>
      <c r="F296" s="7">
        <f t="shared" si="51"/>
        <v>0</v>
      </c>
      <c r="G296">
        <f t="shared" si="52"/>
        <v>0</v>
      </c>
      <c r="H296">
        <f t="shared" si="53"/>
        <v>0</v>
      </c>
      <c r="I296">
        <f t="shared" si="54"/>
        <v>0</v>
      </c>
      <c r="J296">
        <f t="shared" si="55"/>
        <v>0</v>
      </c>
      <c r="K296">
        <f t="shared" si="56"/>
        <v>1</v>
      </c>
      <c r="L296">
        <f t="shared" si="57"/>
        <v>0</v>
      </c>
      <c r="M296">
        <f t="shared" si="58"/>
        <v>0</v>
      </c>
      <c r="N296">
        <f t="shared" si="59"/>
        <v>0</v>
      </c>
      <c r="O296">
        <f t="shared" si="60"/>
        <v>0</v>
      </c>
      <c r="P296">
        <f t="shared" si="61"/>
        <v>0</v>
      </c>
    </row>
    <row r="297" spans="1:16">
      <c r="A297">
        <v>13909</v>
      </c>
      <c r="B297" s="7">
        <v>1.01</v>
      </c>
      <c r="C297" t="s">
        <v>45</v>
      </c>
      <c r="E297">
        <f t="shared" si="50"/>
        <v>9.5402913916071306</v>
      </c>
      <c r="F297" s="7">
        <f t="shared" si="51"/>
        <v>9.950330853168092E-3</v>
      </c>
      <c r="G297">
        <f t="shared" si="52"/>
        <v>0</v>
      </c>
      <c r="H297">
        <f t="shared" si="53"/>
        <v>0</v>
      </c>
      <c r="I297">
        <f t="shared" si="54"/>
        <v>0</v>
      </c>
      <c r="J297">
        <f t="shared" si="55"/>
        <v>0</v>
      </c>
      <c r="K297">
        <f t="shared" si="56"/>
        <v>0</v>
      </c>
      <c r="L297">
        <f t="shared" si="57"/>
        <v>0</v>
      </c>
      <c r="M297">
        <f t="shared" si="58"/>
        <v>0</v>
      </c>
      <c r="N297">
        <f t="shared" si="59"/>
        <v>0</v>
      </c>
      <c r="O297">
        <f t="shared" si="60"/>
        <v>0</v>
      </c>
      <c r="P297">
        <f t="shared" si="61"/>
        <v>0</v>
      </c>
    </row>
    <row r="298" spans="1:16">
      <c r="A298">
        <v>11531</v>
      </c>
      <c r="B298" s="7">
        <v>1.01</v>
      </c>
      <c r="C298" t="s">
        <v>46</v>
      </c>
      <c r="E298">
        <f t="shared" si="50"/>
        <v>9.3527943397711155</v>
      </c>
      <c r="F298" s="7">
        <f t="shared" si="51"/>
        <v>9.950330853168092E-3</v>
      </c>
      <c r="G298">
        <f t="shared" si="52"/>
        <v>1</v>
      </c>
      <c r="H298">
        <f t="shared" si="53"/>
        <v>0</v>
      </c>
      <c r="I298">
        <f t="shared" si="54"/>
        <v>0</v>
      </c>
      <c r="J298">
        <f t="shared" si="55"/>
        <v>0</v>
      </c>
      <c r="K298">
        <f t="shared" si="56"/>
        <v>0</v>
      </c>
      <c r="L298">
        <f t="shared" si="57"/>
        <v>9.950330853168092E-3</v>
      </c>
      <c r="M298">
        <f t="shared" si="58"/>
        <v>0</v>
      </c>
      <c r="N298">
        <f t="shared" si="59"/>
        <v>0</v>
      </c>
      <c r="O298">
        <f t="shared" si="60"/>
        <v>0</v>
      </c>
      <c r="P298">
        <f t="shared" si="61"/>
        <v>0</v>
      </c>
    </row>
    <row r="299" spans="1:16">
      <c r="A299">
        <v>10692</v>
      </c>
      <c r="B299" s="7">
        <v>1.01</v>
      </c>
      <c r="C299" t="s">
        <v>46</v>
      </c>
      <c r="E299">
        <f t="shared" si="50"/>
        <v>9.2772510772588088</v>
      </c>
      <c r="F299" s="7">
        <f t="shared" si="51"/>
        <v>9.950330853168092E-3</v>
      </c>
      <c r="G299">
        <f t="shared" si="52"/>
        <v>1</v>
      </c>
      <c r="H299">
        <f t="shared" si="53"/>
        <v>0</v>
      </c>
      <c r="I299">
        <f t="shared" si="54"/>
        <v>0</v>
      </c>
      <c r="J299">
        <f t="shared" si="55"/>
        <v>0</v>
      </c>
      <c r="K299">
        <f t="shared" si="56"/>
        <v>0</v>
      </c>
      <c r="L299">
        <f t="shared" si="57"/>
        <v>9.950330853168092E-3</v>
      </c>
      <c r="M299">
        <f t="shared" si="58"/>
        <v>0</v>
      </c>
      <c r="N299">
        <f t="shared" si="59"/>
        <v>0</v>
      </c>
      <c r="O299">
        <f t="shared" si="60"/>
        <v>0</v>
      </c>
      <c r="P299">
        <f t="shared" si="61"/>
        <v>0</v>
      </c>
    </row>
    <row r="300" spans="1:16">
      <c r="A300">
        <v>11811</v>
      </c>
      <c r="B300" s="7">
        <v>1.01</v>
      </c>
      <c r="C300" t="s">
        <v>3</v>
      </c>
      <c r="E300">
        <f t="shared" si="50"/>
        <v>9.3767865796118475</v>
      </c>
      <c r="F300" s="7">
        <f t="shared" si="51"/>
        <v>9.950330853168092E-3</v>
      </c>
      <c r="G300">
        <f t="shared" si="52"/>
        <v>0</v>
      </c>
      <c r="H300">
        <f t="shared" si="53"/>
        <v>1</v>
      </c>
      <c r="I300">
        <f t="shared" si="54"/>
        <v>0</v>
      </c>
      <c r="J300">
        <f t="shared" si="55"/>
        <v>0</v>
      </c>
      <c r="K300">
        <f t="shared" si="56"/>
        <v>0</v>
      </c>
      <c r="L300">
        <f t="shared" si="57"/>
        <v>0</v>
      </c>
      <c r="M300">
        <f t="shared" si="58"/>
        <v>9.950330853168092E-3</v>
      </c>
      <c r="N300">
        <f t="shared" si="59"/>
        <v>0</v>
      </c>
      <c r="O300">
        <f t="shared" si="60"/>
        <v>0</v>
      </c>
      <c r="P300">
        <f t="shared" si="61"/>
        <v>0</v>
      </c>
    </row>
    <row r="301" spans="1:16">
      <c r="A301">
        <v>10272</v>
      </c>
      <c r="B301" s="7">
        <v>1.01</v>
      </c>
      <c r="C301" t="s">
        <v>3</v>
      </c>
      <c r="E301">
        <f t="shared" si="50"/>
        <v>9.2371770259297428</v>
      </c>
      <c r="F301" s="7">
        <f t="shared" si="51"/>
        <v>9.950330853168092E-3</v>
      </c>
      <c r="G301">
        <f t="shared" si="52"/>
        <v>0</v>
      </c>
      <c r="H301">
        <f t="shared" si="53"/>
        <v>1</v>
      </c>
      <c r="I301">
        <f t="shared" si="54"/>
        <v>0</v>
      </c>
      <c r="J301">
        <f t="shared" si="55"/>
        <v>0</v>
      </c>
      <c r="K301">
        <f t="shared" si="56"/>
        <v>0</v>
      </c>
      <c r="L301">
        <f t="shared" si="57"/>
        <v>0</v>
      </c>
      <c r="M301">
        <f t="shared" si="58"/>
        <v>9.950330853168092E-3</v>
      </c>
      <c r="N301">
        <f t="shared" si="59"/>
        <v>0</v>
      </c>
      <c r="O301">
        <f t="shared" si="60"/>
        <v>0</v>
      </c>
      <c r="P301">
        <f t="shared" si="61"/>
        <v>0</v>
      </c>
    </row>
    <row r="302" spans="1:16">
      <c r="A302">
        <v>9993</v>
      </c>
      <c r="B302" s="7">
        <v>1.01</v>
      </c>
      <c r="C302" t="s">
        <v>47</v>
      </c>
      <c r="E302">
        <f t="shared" si="50"/>
        <v>9.2096401268617889</v>
      </c>
      <c r="F302" s="7">
        <f t="shared" si="51"/>
        <v>9.950330853168092E-3</v>
      </c>
      <c r="G302">
        <f t="shared" si="52"/>
        <v>0</v>
      </c>
      <c r="H302">
        <f t="shared" si="53"/>
        <v>0</v>
      </c>
      <c r="I302">
        <f t="shared" si="54"/>
        <v>1</v>
      </c>
      <c r="J302">
        <f t="shared" si="55"/>
        <v>0</v>
      </c>
      <c r="K302">
        <f t="shared" si="56"/>
        <v>0</v>
      </c>
      <c r="L302">
        <f t="shared" si="57"/>
        <v>0</v>
      </c>
      <c r="M302">
        <f t="shared" si="58"/>
        <v>0</v>
      </c>
      <c r="N302">
        <f t="shared" si="59"/>
        <v>9.950330853168092E-3</v>
      </c>
      <c r="O302">
        <f t="shared" si="60"/>
        <v>0</v>
      </c>
      <c r="P302">
        <f t="shared" si="61"/>
        <v>0</v>
      </c>
    </row>
    <row r="303" spans="1:16">
      <c r="A303">
        <v>9293</v>
      </c>
      <c r="B303" s="7">
        <v>1.01</v>
      </c>
      <c r="C303" t="s">
        <v>47</v>
      </c>
      <c r="E303">
        <f t="shared" si="50"/>
        <v>9.1370167075573399</v>
      </c>
      <c r="F303" s="7">
        <f t="shared" si="51"/>
        <v>9.950330853168092E-3</v>
      </c>
      <c r="G303">
        <f t="shared" si="52"/>
        <v>0</v>
      </c>
      <c r="H303">
        <f t="shared" si="53"/>
        <v>0</v>
      </c>
      <c r="I303">
        <f t="shared" si="54"/>
        <v>1</v>
      </c>
      <c r="J303">
        <f t="shared" si="55"/>
        <v>0</v>
      </c>
      <c r="K303">
        <f t="shared" si="56"/>
        <v>0</v>
      </c>
      <c r="L303">
        <f t="shared" si="57"/>
        <v>0</v>
      </c>
      <c r="M303">
        <f t="shared" si="58"/>
        <v>0</v>
      </c>
      <c r="N303">
        <f t="shared" si="59"/>
        <v>9.950330853168092E-3</v>
      </c>
      <c r="O303">
        <f t="shared" si="60"/>
        <v>0</v>
      </c>
      <c r="P303">
        <f t="shared" si="61"/>
        <v>0</v>
      </c>
    </row>
    <row r="304" spans="1:16">
      <c r="A304">
        <v>9433</v>
      </c>
      <c r="B304" s="7">
        <v>1.01</v>
      </c>
      <c r="C304" t="s">
        <v>48</v>
      </c>
      <c r="E304">
        <f t="shared" si="50"/>
        <v>9.1519694586498535</v>
      </c>
      <c r="F304" s="7">
        <f t="shared" si="51"/>
        <v>9.950330853168092E-3</v>
      </c>
      <c r="G304">
        <f t="shared" si="52"/>
        <v>0</v>
      </c>
      <c r="H304">
        <f t="shared" si="53"/>
        <v>0</v>
      </c>
      <c r="I304">
        <f t="shared" si="54"/>
        <v>0</v>
      </c>
      <c r="J304">
        <f t="shared" si="55"/>
        <v>1</v>
      </c>
      <c r="K304">
        <f t="shared" si="56"/>
        <v>0</v>
      </c>
      <c r="L304">
        <f t="shared" si="57"/>
        <v>0</v>
      </c>
      <c r="M304">
        <f t="shared" si="58"/>
        <v>0</v>
      </c>
      <c r="N304">
        <f t="shared" si="59"/>
        <v>0</v>
      </c>
      <c r="O304">
        <f t="shared" si="60"/>
        <v>9.950330853168092E-3</v>
      </c>
      <c r="P304">
        <f t="shared" si="61"/>
        <v>0</v>
      </c>
    </row>
    <row r="305" spans="1:16">
      <c r="A305">
        <v>9153</v>
      </c>
      <c r="B305" s="7">
        <v>1.01</v>
      </c>
      <c r="C305" t="s">
        <v>48</v>
      </c>
      <c r="E305">
        <f t="shared" si="50"/>
        <v>9.1218369733847791</v>
      </c>
      <c r="F305" s="7">
        <f t="shared" si="51"/>
        <v>9.950330853168092E-3</v>
      </c>
      <c r="G305">
        <f t="shared" si="52"/>
        <v>0</v>
      </c>
      <c r="H305">
        <f t="shared" si="53"/>
        <v>0</v>
      </c>
      <c r="I305">
        <f t="shared" si="54"/>
        <v>0</v>
      </c>
      <c r="J305">
        <f t="shared" si="55"/>
        <v>1</v>
      </c>
      <c r="K305">
        <f t="shared" si="56"/>
        <v>0</v>
      </c>
      <c r="L305">
        <f t="shared" si="57"/>
        <v>0</v>
      </c>
      <c r="M305">
        <f t="shared" si="58"/>
        <v>0</v>
      </c>
      <c r="N305">
        <f t="shared" si="59"/>
        <v>0</v>
      </c>
      <c r="O305">
        <f t="shared" si="60"/>
        <v>9.950330853168092E-3</v>
      </c>
      <c r="P305">
        <f t="shared" si="61"/>
        <v>0</v>
      </c>
    </row>
    <row r="306" spans="1:16">
      <c r="A306">
        <v>8873</v>
      </c>
      <c r="B306" s="7">
        <v>1.01</v>
      </c>
      <c r="C306" t="s">
        <v>49</v>
      </c>
      <c r="E306">
        <f t="shared" si="50"/>
        <v>9.0907682368353377</v>
      </c>
      <c r="F306" s="7">
        <f t="shared" si="51"/>
        <v>9.950330853168092E-3</v>
      </c>
      <c r="G306">
        <f t="shared" si="52"/>
        <v>0</v>
      </c>
      <c r="H306">
        <f t="shared" si="53"/>
        <v>0</v>
      </c>
      <c r="I306">
        <f t="shared" si="54"/>
        <v>0</v>
      </c>
      <c r="J306">
        <f t="shared" si="55"/>
        <v>0</v>
      </c>
      <c r="K306">
        <f t="shared" si="56"/>
        <v>1</v>
      </c>
      <c r="L306">
        <f t="shared" si="57"/>
        <v>0</v>
      </c>
      <c r="M306">
        <f t="shared" si="58"/>
        <v>0</v>
      </c>
      <c r="N306">
        <f t="shared" si="59"/>
        <v>0</v>
      </c>
      <c r="O306">
        <f t="shared" si="60"/>
        <v>0</v>
      </c>
      <c r="P306">
        <f t="shared" si="61"/>
        <v>9.950330853168092E-3</v>
      </c>
    </row>
    <row r="307" spans="1:16">
      <c r="A307">
        <v>8175</v>
      </c>
      <c r="B307" s="7">
        <v>1.01</v>
      </c>
      <c r="C307" t="s">
        <v>49</v>
      </c>
      <c r="E307">
        <f t="shared" si="50"/>
        <v>9.0088359957654536</v>
      </c>
      <c r="F307" s="7">
        <f t="shared" si="51"/>
        <v>9.950330853168092E-3</v>
      </c>
      <c r="G307">
        <f t="shared" si="52"/>
        <v>0</v>
      </c>
      <c r="H307">
        <f t="shared" si="53"/>
        <v>0</v>
      </c>
      <c r="I307">
        <f t="shared" si="54"/>
        <v>0</v>
      </c>
      <c r="J307">
        <f t="shared" si="55"/>
        <v>0</v>
      </c>
      <c r="K307">
        <f t="shared" si="56"/>
        <v>1</v>
      </c>
      <c r="L307">
        <f t="shared" si="57"/>
        <v>0</v>
      </c>
      <c r="M307">
        <f t="shared" si="58"/>
        <v>0</v>
      </c>
      <c r="N307">
        <f t="shared" si="59"/>
        <v>0</v>
      </c>
      <c r="O307">
        <f t="shared" si="60"/>
        <v>0</v>
      </c>
      <c r="P307">
        <f t="shared" si="61"/>
        <v>9.950330853168092E-3</v>
      </c>
    </row>
    <row r="308" spans="1:16">
      <c r="A308">
        <v>10796</v>
      </c>
      <c r="B308" s="7">
        <v>1.02</v>
      </c>
      <c r="C308" t="s">
        <v>3</v>
      </c>
      <c r="E308">
        <f t="shared" si="50"/>
        <v>9.2869309741378956</v>
      </c>
      <c r="F308" s="7">
        <f t="shared" si="51"/>
        <v>1.980262729617973E-2</v>
      </c>
      <c r="G308">
        <f t="shared" si="52"/>
        <v>0</v>
      </c>
      <c r="H308">
        <f t="shared" si="53"/>
        <v>1</v>
      </c>
      <c r="I308">
        <f t="shared" si="54"/>
        <v>0</v>
      </c>
      <c r="J308">
        <f t="shared" si="55"/>
        <v>0</v>
      </c>
      <c r="K308">
        <f t="shared" si="56"/>
        <v>0</v>
      </c>
      <c r="L308">
        <f t="shared" si="57"/>
        <v>0</v>
      </c>
      <c r="M308">
        <f t="shared" si="58"/>
        <v>1.980262729617973E-2</v>
      </c>
      <c r="N308">
        <f t="shared" si="59"/>
        <v>0</v>
      </c>
      <c r="O308">
        <f t="shared" si="60"/>
        <v>0</v>
      </c>
      <c r="P308">
        <f t="shared" si="61"/>
        <v>0</v>
      </c>
    </row>
    <row r="309" spans="1:16">
      <c r="A309">
        <v>9890</v>
      </c>
      <c r="B309" s="7">
        <v>1.06</v>
      </c>
      <c r="C309" t="s">
        <v>48</v>
      </c>
      <c r="E309">
        <f t="shared" si="50"/>
        <v>9.1992794246167584</v>
      </c>
      <c r="F309" s="7">
        <f t="shared" si="51"/>
        <v>5.8268908123975824E-2</v>
      </c>
      <c r="G309">
        <f t="shared" si="52"/>
        <v>0</v>
      </c>
      <c r="H309">
        <f t="shared" si="53"/>
        <v>0</v>
      </c>
      <c r="I309">
        <f t="shared" si="54"/>
        <v>0</v>
      </c>
      <c r="J309">
        <f t="shared" si="55"/>
        <v>1</v>
      </c>
      <c r="K309">
        <f t="shared" si="56"/>
        <v>0</v>
      </c>
      <c r="L309">
        <f t="shared" si="57"/>
        <v>0</v>
      </c>
      <c r="M309">
        <f t="shared" si="58"/>
        <v>0</v>
      </c>
      <c r="N309">
        <f t="shared" si="59"/>
        <v>0</v>
      </c>
      <c r="O309">
        <f t="shared" si="60"/>
        <v>5.8268908123975824E-2</v>
      </c>
      <c r="P309">
        <f t="shared" si="61"/>
        <v>0</v>
      </c>
    </row>
    <row r="310" spans="1:16">
      <c r="A310">
        <v>8959</v>
      </c>
      <c r="B310" s="7">
        <v>1.02</v>
      </c>
      <c r="C310" t="s">
        <v>48</v>
      </c>
      <c r="E310">
        <f t="shared" si="50"/>
        <v>9.1004138925975777</v>
      </c>
      <c r="F310" s="7">
        <f t="shared" si="51"/>
        <v>1.980262729617973E-2</v>
      </c>
      <c r="G310">
        <f t="shared" si="52"/>
        <v>0</v>
      </c>
      <c r="H310">
        <f t="shared" si="53"/>
        <v>0</v>
      </c>
      <c r="I310">
        <f t="shared" si="54"/>
        <v>0</v>
      </c>
      <c r="J310">
        <f t="shared" si="55"/>
        <v>1</v>
      </c>
      <c r="K310">
        <f t="shared" si="56"/>
        <v>0</v>
      </c>
      <c r="L310">
        <f t="shared" si="57"/>
        <v>0</v>
      </c>
      <c r="M310">
        <f t="shared" si="58"/>
        <v>0</v>
      </c>
      <c r="N310">
        <f t="shared" si="59"/>
        <v>0</v>
      </c>
      <c r="O310">
        <f t="shared" si="60"/>
        <v>1.980262729617973E-2</v>
      </c>
      <c r="P310">
        <f t="shared" si="61"/>
        <v>0</v>
      </c>
    </row>
    <row r="311" spans="1:16">
      <c r="A311">
        <v>9107</v>
      </c>
      <c r="B311" s="7">
        <v>1.0900000000000001</v>
      </c>
      <c r="C311" t="s">
        <v>49</v>
      </c>
      <c r="E311">
        <f t="shared" si="50"/>
        <v>9.1167986275678192</v>
      </c>
      <c r="F311" s="7">
        <f t="shared" si="51"/>
        <v>8.6177696241052412E-2</v>
      </c>
      <c r="G311">
        <f t="shared" si="52"/>
        <v>0</v>
      </c>
      <c r="H311">
        <f t="shared" si="53"/>
        <v>0</v>
      </c>
      <c r="I311">
        <f t="shared" si="54"/>
        <v>0</v>
      </c>
      <c r="J311">
        <f t="shared" si="55"/>
        <v>0</v>
      </c>
      <c r="K311">
        <f t="shared" si="56"/>
        <v>1</v>
      </c>
      <c r="L311">
        <f t="shared" si="57"/>
        <v>0</v>
      </c>
      <c r="M311">
        <f t="shared" si="58"/>
        <v>0</v>
      </c>
      <c r="N311">
        <f t="shared" si="59"/>
        <v>0</v>
      </c>
      <c r="O311">
        <f t="shared" si="60"/>
        <v>0</v>
      </c>
      <c r="P311">
        <f t="shared" si="61"/>
        <v>8.6177696241052412E-2</v>
      </c>
    </row>
  </sheetData>
  <mergeCells count="2">
    <mergeCell ref="A1:C1"/>
    <mergeCell ref="E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Hotel_Sales</vt:lpstr>
      <vt:lpstr>Dummy variables</vt:lpstr>
      <vt:lpstr>Interaction</vt:lpstr>
      <vt:lpstr>Diamond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Marc-Olivier Boldi</dc:creator>
  <cp:lastModifiedBy>Marc-Olivier Boldi</cp:lastModifiedBy>
  <dcterms:created xsi:type="dcterms:W3CDTF">2017-09-26T13:41:05Z</dcterms:created>
  <dcterms:modified xsi:type="dcterms:W3CDTF">2018-06-14T16:18:22Z</dcterms:modified>
</cp:coreProperties>
</file>