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ldi\Documents\Teaching\StatisticalModelling\2018-2019\"/>
    </mc:Choice>
  </mc:AlternateContent>
  <bookViews>
    <workbookView xWindow="0" yWindow="0" windowWidth="16995" windowHeight="9255"/>
  </bookViews>
  <sheets>
    <sheet name="Prediction interv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J39" i="1" s="1"/>
  <c r="H33" i="1"/>
  <c r="K39" i="1" s="1"/>
  <c r="H35" i="1"/>
  <c r="G39" i="1" s="1"/>
  <c r="K35" i="1"/>
  <c r="N35" i="1"/>
  <c r="H39" i="1"/>
  <c r="M39" i="1"/>
  <c r="N39" i="1"/>
</calcChain>
</file>

<file path=xl/sharedStrings.xml><?xml version="1.0" encoding="utf-8"?>
<sst xmlns="http://schemas.openxmlformats.org/spreadsheetml/2006/main" count="53" uniqueCount="38">
  <si>
    <t>Upper bound</t>
  </si>
  <si>
    <t>Lower bound</t>
  </si>
  <si>
    <t>Prediction interval at 80%</t>
  </si>
  <si>
    <t>Prediction interval at 99%</t>
  </si>
  <si>
    <t>Prediction interval at 95%</t>
  </si>
  <si>
    <t>z_(1-alpha/2)</t>
  </si>
  <si>
    <t>alpha</t>
  </si>
  <si>
    <t>s</t>
  </si>
  <si>
    <t>Prediction: 111.4 + 2.1*90 - 2.7*75 + 0.0006*128</t>
  </si>
  <si>
    <t>Weight</t>
  </si>
  <si>
    <t>Height</t>
  </si>
  <si>
    <t>Brain</t>
  </si>
  <si>
    <t>For example, let's predict the new subject below: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</si>
  <si>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</si>
  <si>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</si>
  <si>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</si>
  <si>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</si>
  <si>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</si>
  <si>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</si>
  <si>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</si>
  <si>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</si>
  <si>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</si>
  <si>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</si>
  <si>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</si>
  <si>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</si>
  <si>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</si>
  <si>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</si>
  <si>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</si>
  <si>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</si>
  <si>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</si>
  <si>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</si>
  <si>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</si>
  <si>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</si>
  <si>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</si>
  <si>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</si>
  <si>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</si>
  <si>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</si>
  <si>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PIQ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</si>
</sst>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9" fontId="0" fillId="0" borderId="1" xfId="0" applyNumberFormat="1" applyBorder="1"/>
    <xf numFmtId="0" fontId="0" fillId="0" borderId="3" xfId="0" applyFill="1" applyBorder="1" applyAlignment="1"/>
    <xf numFmtId="0" fontId="0" fillId="0" borderId="0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/>
  </sheetViews>
  <sheetFormatPr defaultRowHeight="15"/>
  <cols>
    <col min="7" max="7" width="14.140625" customWidth="1"/>
    <col min="8" max="8" width="14.28515625" customWidth="1"/>
  </cols>
  <sheetData>
    <row r="1" spans="1:12">
      <c r="A1" s="2" t="s">
        <v>37</v>
      </c>
      <c r="B1" t="s">
        <v>11</v>
      </c>
      <c r="C1" t="s">
        <v>10</v>
      </c>
      <c r="D1" t="s">
        <v>9</v>
      </c>
    </row>
    <row r="2" spans="1:12">
      <c r="A2" s="2">
        <v>124</v>
      </c>
      <c r="B2">
        <v>81.69</v>
      </c>
      <c r="C2">
        <v>64.5</v>
      </c>
      <c r="D2">
        <v>118</v>
      </c>
      <c r="G2" t="s">
        <v>36</v>
      </c>
    </row>
    <row r="3" spans="1:12" ht="15.75" thickBot="1">
      <c r="A3" s="2">
        <v>150</v>
      </c>
      <c r="B3">
        <v>103.84</v>
      </c>
      <c r="C3">
        <v>73.3</v>
      </c>
      <c r="D3">
        <v>143</v>
      </c>
    </row>
    <row r="4" spans="1:12">
      <c r="A4" s="2">
        <v>128</v>
      </c>
      <c r="B4">
        <v>96.54</v>
      </c>
      <c r="C4">
        <v>68.8</v>
      </c>
      <c r="D4">
        <v>172</v>
      </c>
      <c r="G4" s="8" t="s">
        <v>35</v>
      </c>
      <c r="H4" s="8"/>
    </row>
    <row r="5" spans="1:12">
      <c r="A5" s="2">
        <v>134</v>
      </c>
      <c r="B5">
        <v>95.15</v>
      </c>
      <c r="C5">
        <v>65</v>
      </c>
      <c r="D5">
        <v>147</v>
      </c>
      <c r="G5" s="6" t="s">
        <v>34</v>
      </c>
      <c r="H5" s="6">
        <v>0.54308306038205623</v>
      </c>
    </row>
    <row r="6" spans="1:12">
      <c r="A6" s="2">
        <v>110</v>
      </c>
      <c r="B6">
        <v>92.88</v>
      </c>
      <c r="C6">
        <v>69</v>
      </c>
      <c r="D6">
        <v>146</v>
      </c>
      <c r="G6" s="6" t="s">
        <v>33</v>
      </c>
      <c r="H6" s="6">
        <v>0.29493921047394017</v>
      </c>
    </row>
    <row r="7" spans="1:12">
      <c r="A7" s="2">
        <v>131</v>
      </c>
      <c r="B7">
        <v>99.13</v>
      </c>
      <c r="C7">
        <v>64.5</v>
      </c>
      <c r="D7">
        <v>138</v>
      </c>
      <c r="G7" s="6" t="s">
        <v>32</v>
      </c>
      <c r="H7" s="6">
        <v>0.23272796433928786</v>
      </c>
    </row>
    <row r="8" spans="1:12">
      <c r="A8" s="2">
        <v>98</v>
      </c>
      <c r="B8">
        <v>85.43</v>
      </c>
      <c r="C8">
        <v>66</v>
      </c>
      <c r="D8">
        <v>175</v>
      </c>
      <c r="G8" s="6" t="s">
        <v>20</v>
      </c>
      <c r="H8" s="6">
        <v>19.794390319543403</v>
      </c>
    </row>
    <row r="9" spans="1:12" ht="15.75" thickBot="1">
      <c r="A9" s="2">
        <v>84</v>
      </c>
      <c r="B9">
        <v>90.49</v>
      </c>
      <c r="C9">
        <v>66.3</v>
      </c>
      <c r="D9">
        <v>134</v>
      </c>
      <c r="G9" s="5" t="s">
        <v>31</v>
      </c>
      <c r="H9" s="5">
        <v>38</v>
      </c>
    </row>
    <row r="10" spans="1:12">
      <c r="A10" s="2">
        <v>147</v>
      </c>
      <c r="B10">
        <v>95.55</v>
      </c>
      <c r="C10">
        <v>68.8</v>
      </c>
      <c r="D10">
        <v>172</v>
      </c>
    </row>
    <row r="11" spans="1:12" ht="15.75" thickBot="1">
      <c r="A11" s="2">
        <v>124</v>
      </c>
      <c r="B11">
        <v>83.39</v>
      </c>
      <c r="C11">
        <v>64.5</v>
      </c>
      <c r="D11">
        <v>118</v>
      </c>
      <c r="G11" t="s">
        <v>30</v>
      </c>
    </row>
    <row r="12" spans="1:12">
      <c r="A12" s="2">
        <v>128</v>
      </c>
      <c r="B12">
        <v>107.95</v>
      </c>
      <c r="C12">
        <v>70</v>
      </c>
      <c r="D12">
        <v>151</v>
      </c>
      <c r="G12" s="7"/>
      <c r="H12" s="7" t="s">
        <v>29</v>
      </c>
      <c r="I12" s="7" t="s">
        <v>28</v>
      </c>
      <c r="J12" s="7" t="s">
        <v>27</v>
      </c>
      <c r="K12" s="7" t="s">
        <v>26</v>
      </c>
      <c r="L12" s="7" t="s">
        <v>25</v>
      </c>
    </row>
    <row r="13" spans="1:12">
      <c r="A13" s="2">
        <v>124</v>
      </c>
      <c r="B13">
        <v>92.41</v>
      </c>
      <c r="C13">
        <v>69</v>
      </c>
      <c r="D13">
        <v>155</v>
      </c>
      <c r="G13" s="6" t="s">
        <v>24</v>
      </c>
      <c r="H13" s="6">
        <v>3</v>
      </c>
      <c r="I13" s="6">
        <v>5572.7444354162017</v>
      </c>
      <c r="J13" s="6">
        <v>1857.5814784720671</v>
      </c>
      <c r="K13" s="6">
        <v>4.7409307609039484</v>
      </c>
      <c r="L13" s="6">
        <v>7.2152698210396207E-3</v>
      </c>
    </row>
    <row r="14" spans="1:12">
      <c r="A14" s="2">
        <v>147</v>
      </c>
      <c r="B14">
        <v>85.65</v>
      </c>
      <c r="C14">
        <v>70.5</v>
      </c>
      <c r="D14">
        <v>155</v>
      </c>
      <c r="G14" s="6" t="s">
        <v>23</v>
      </c>
      <c r="H14" s="6">
        <v>34</v>
      </c>
      <c r="I14" s="6">
        <v>13321.808196162741</v>
      </c>
      <c r="J14" s="6">
        <v>391.81788812243354</v>
      </c>
      <c r="K14" s="6"/>
      <c r="L14" s="6"/>
    </row>
    <row r="15" spans="1:12" ht="15.75" thickBot="1">
      <c r="A15" s="2">
        <v>90</v>
      </c>
      <c r="B15">
        <v>87.89</v>
      </c>
      <c r="C15">
        <v>66</v>
      </c>
      <c r="D15">
        <v>146</v>
      </c>
      <c r="G15" s="5" t="s">
        <v>22</v>
      </c>
      <c r="H15" s="5">
        <v>37</v>
      </c>
      <c r="I15" s="5">
        <v>18894.552631578943</v>
      </c>
      <c r="J15" s="5"/>
      <c r="K15" s="5"/>
      <c r="L15" s="5"/>
    </row>
    <row r="16" spans="1:12" ht="15.75" thickBot="1">
      <c r="A16" s="2">
        <v>96</v>
      </c>
      <c r="B16">
        <v>86.54</v>
      </c>
      <c r="C16">
        <v>68</v>
      </c>
      <c r="D16">
        <v>135</v>
      </c>
    </row>
    <row r="17" spans="1:15">
      <c r="A17" s="2">
        <v>120</v>
      </c>
      <c r="B17">
        <v>85.22</v>
      </c>
      <c r="C17">
        <v>68.5</v>
      </c>
      <c r="D17">
        <v>127</v>
      </c>
      <c r="G17" s="7"/>
      <c r="H17" s="7" t="s">
        <v>21</v>
      </c>
      <c r="I17" s="7" t="s">
        <v>20</v>
      </c>
      <c r="J17" s="7" t="s">
        <v>19</v>
      </c>
      <c r="K17" s="7" t="s">
        <v>18</v>
      </c>
      <c r="L17" s="7" t="s">
        <v>17</v>
      </c>
      <c r="M17" s="7" t="s">
        <v>16</v>
      </c>
      <c r="N17" s="7" t="s">
        <v>15</v>
      </c>
      <c r="O17" s="7" t="s">
        <v>14</v>
      </c>
    </row>
    <row r="18" spans="1:15">
      <c r="A18" s="2">
        <v>102</v>
      </c>
      <c r="B18">
        <v>94.51</v>
      </c>
      <c r="C18">
        <v>73.5</v>
      </c>
      <c r="D18">
        <v>178</v>
      </c>
      <c r="G18" s="6" t="s">
        <v>13</v>
      </c>
      <c r="H18" s="6">
        <v>111.35360829241687</v>
      </c>
      <c r="I18" s="6">
        <v>62.971096462934547</v>
      </c>
      <c r="J18" s="6">
        <v>1.7683288770104357</v>
      </c>
      <c r="K18" s="6">
        <v>8.5978540776571563E-2</v>
      </c>
      <c r="L18" s="6">
        <v>-16.619056740098301</v>
      </c>
      <c r="M18" s="6">
        <v>239.32627332493203</v>
      </c>
      <c r="N18" s="6">
        <v>-16.619056740098301</v>
      </c>
      <c r="O18" s="6">
        <v>239.32627332493203</v>
      </c>
    </row>
    <row r="19" spans="1:15">
      <c r="A19" s="2">
        <v>84</v>
      </c>
      <c r="B19">
        <v>80.8</v>
      </c>
      <c r="C19">
        <v>66.3</v>
      </c>
      <c r="D19">
        <v>136</v>
      </c>
      <c r="G19" s="6" t="s">
        <v>11</v>
      </c>
      <c r="H19" s="6">
        <v>2.0603667978949489</v>
      </c>
      <c r="I19" s="6">
        <v>0.56344682526351852</v>
      </c>
      <c r="J19" s="6">
        <v>3.6567191534557599</v>
      </c>
      <c r="K19" s="6">
        <v>8.5563215661449313E-4</v>
      </c>
      <c r="L19" s="6">
        <v>0.9153050809606631</v>
      </c>
      <c r="M19" s="6">
        <v>3.2054285148292347</v>
      </c>
      <c r="N19" s="6">
        <v>0.9153050809606631</v>
      </c>
      <c r="O19" s="6">
        <v>3.2054285148292347</v>
      </c>
    </row>
    <row r="20" spans="1:15">
      <c r="A20" s="2">
        <v>86</v>
      </c>
      <c r="B20">
        <v>88.91</v>
      </c>
      <c r="C20">
        <v>70</v>
      </c>
      <c r="D20">
        <v>180</v>
      </c>
      <c r="G20" s="6" t="s">
        <v>10</v>
      </c>
      <c r="H20" s="6">
        <v>-2.7319291624575519</v>
      </c>
      <c r="I20" s="6">
        <v>1.2294286314747143</v>
      </c>
      <c r="J20" s="6">
        <v>-2.2221128518705231</v>
      </c>
      <c r="K20" s="6">
        <v>3.3033818698289717E-2</v>
      </c>
      <c r="L20" s="6">
        <v>-5.2304287483700378</v>
      </c>
      <c r="M20" s="6">
        <v>-0.23342957654506646</v>
      </c>
      <c r="N20" s="6">
        <v>-5.2304287483700378</v>
      </c>
      <c r="O20" s="6">
        <v>-0.23342957654506646</v>
      </c>
    </row>
    <row r="21" spans="1:15" ht="15.75" thickBot="1">
      <c r="A21" s="2">
        <v>84</v>
      </c>
      <c r="B21">
        <v>90.59</v>
      </c>
      <c r="C21">
        <v>76.5</v>
      </c>
      <c r="D21">
        <v>186</v>
      </c>
      <c r="G21" s="5" t="s">
        <v>9</v>
      </c>
      <c r="H21" s="5">
        <v>5.5993712667662323E-4</v>
      </c>
      <c r="I21" s="5">
        <v>0.19706613141918183</v>
      </c>
      <c r="J21" s="5">
        <v>2.8413666145684566E-3</v>
      </c>
      <c r="K21" s="5">
        <v>0.99774952676941875</v>
      </c>
      <c r="L21" s="5">
        <v>-0.3999266264224397</v>
      </c>
      <c r="M21" s="5">
        <v>0.40104650067579295</v>
      </c>
      <c r="N21" s="5">
        <v>-0.3999266264224397</v>
      </c>
      <c r="O21" s="5">
        <v>0.40104650067579295</v>
      </c>
    </row>
    <row r="22" spans="1:15">
      <c r="A22" s="2">
        <v>134</v>
      </c>
      <c r="B22">
        <v>79.06</v>
      </c>
      <c r="C22">
        <v>62</v>
      </c>
      <c r="D22">
        <v>122</v>
      </c>
    </row>
    <row r="23" spans="1:15">
      <c r="A23" s="2">
        <v>128</v>
      </c>
      <c r="B23">
        <v>95.5</v>
      </c>
      <c r="C23">
        <v>68</v>
      </c>
      <c r="D23">
        <v>132</v>
      </c>
    </row>
    <row r="24" spans="1:15">
      <c r="A24" s="2">
        <v>102</v>
      </c>
      <c r="B24">
        <v>83.18</v>
      </c>
      <c r="C24">
        <v>63</v>
      </c>
      <c r="D24">
        <v>114</v>
      </c>
      <c r="G24" t="s">
        <v>12</v>
      </c>
    </row>
    <row r="25" spans="1:15">
      <c r="A25" s="2">
        <v>131</v>
      </c>
      <c r="B25">
        <v>93.55</v>
      </c>
      <c r="C25">
        <v>72</v>
      </c>
      <c r="D25">
        <v>171</v>
      </c>
      <c r="G25" t="s">
        <v>11</v>
      </c>
      <c r="H25">
        <v>90</v>
      </c>
    </row>
    <row r="26" spans="1:15">
      <c r="A26" s="2">
        <v>84</v>
      </c>
      <c r="B26">
        <v>79.86</v>
      </c>
      <c r="C26">
        <v>68</v>
      </c>
      <c r="D26">
        <v>140</v>
      </c>
      <c r="G26" t="s">
        <v>10</v>
      </c>
      <c r="H26">
        <v>75</v>
      </c>
    </row>
    <row r="27" spans="1:15">
      <c r="A27" s="2">
        <v>110</v>
      </c>
      <c r="B27">
        <v>106.25</v>
      </c>
      <c r="C27">
        <v>77</v>
      </c>
      <c r="D27">
        <v>187</v>
      </c>
      <c r="G27" t="s">
        <v>9</v>
      </c>
      <c r="H27">
        <v>128</v>
      </c>
    </row>
    <row r="28" spans="1:15">
      <c r="A28" s="2">
        <v>72</v>
      </c>
      <c r="B28">
        <v>79.349999999999994</v>
      </c>
      <c r="C28">
        <v>63</v>
      </c>
      <c r="D28">
        <v>106</v>
      </c>
    </row>
    <row r="29" spans="1:15">
      <c r="A29" s="2">
        <v>124</v>
      </c>
      <c r="B29">
        <v>86.67</v>
      </c>
      <c r="C29">
        <v>66.5</v>
      </c>
      <c r="D29">
        <v>159</v>
      </c>
      <c r="G29" t="s">
        <v>8</v>
      </c>
    </row>
    <row r="30" spans="1:15">
      <c r="A30" s="2">
        <v>132</v>
      </c>
      <c r="B30">
        <v>85.78</v>
      </c>
      <c r="C30">
        <v>62.5</v>
      </c>
      <c r="D30">
        <v>127</v>
      </c>
      <c r="G30">
        <f>SUMPRODUCT(H19:H21,H25:H27)+H18</f>
        <v>91.963604870860479</v>
      </c>
    </row>
    <row r="31" spans="1:15">
      <c r="A31" s="2">
        <v>137</v>
      </c>
      <c r="B31">
        <v>94.96</v>
      </c>
      <c r="C31">
        <v>67</v>
      </c>
      <c r="D31">
        <v>191</v>
      </c>
    </row>
    <row r="32" spans="1:15">
      <c r="A32" s="2">
        <v>110</v>
      </c>
      <c r="B32">
        <v>99.79</v>
      </c>
      <c r="C32">
        <v>75.5</v>
      </c>
      <c r="D32">
        <v>192</v>
      </c>
    </row>
    <row r="33" spans="1:14">
      <c r="A33" s="2">
        <v>86</v>
      </c>
      <c r="B33">
        <v>88</v>
      </c>
      <c r="C33">
        <v>69</v>
      </c>
      <c r="D33">
        <v>181</v>
      </c>
      <c r="G33" s="1" t="s">
        <v>7</v>
      </c>
      <c r="H33" s="1">
        <f>H8</f>
        <v>19.794390319543403</v>
      </c>
    </row>
    <row r="34" spans="1:14">
      <c r="A34" s="2">
        <v>81</v>
      </c>
      <c r="B34">
        <v>83.43</v>
      </c>
      <c r="C34">
        <v>66.5</v>
      </c>
      <c r="D34">
        <v>143</v>
      </c>
      <c r="G34" s="1" t="s">
        <v>6</v>
      </c>
      <c r="H34" s="4">
        <v>0.05</v>
      </c>
      <c r="J34" s="1" t="s">
        <v>6</v>
      </c>
      <c r="K34" s="4">
        <v>0.01</v>
      </c>
      <c r="M34" s="1" t="s">
        <v>6</v>
      </c>
      <c r="N34" s="4">
        <v>0.2</v>
      </c>
    </row>
    <row r="35" spans="1:14">
      <c r="A35" s="2">
        <v>128</v>
      </c>
      <c r="B35">
        <v>94.81</v>
      </c>
      <c r="C35">
        <v>66.5</v>
      </c>
      <c r="D35">
        <v>153</v>
      </c>
      <c r="G35" s="1" t="s">
        <v>5</v>
      </c>
      <c r="H35" s="1">
        <f>_xlfn.NORM.S.INV(1-H34/2)</f>
        <v>1.9599639845400536</v>
      </c>
      <c r="J35" s="1" t="s">
        <v>5</v>
      </c>
      <c r="K35" s="1">
        <f>_xlfn.NORM.S.INV(1-K34/2)</f>
        <v>2.5758293035488999</v>
      </c>
      <c r="M35" s="1" t="s">
        <v>5</v>
      </c>
      <c r="N35" s="1">
        <f>_xlfn.NORM.S.INV(1-N34/2)</f>
        <v>1.2815515655446006</v>
      </c>
    </row>
    <row r="36" spans="1:14">
      <c r="A36" s="2">
        <v>124</v>
      </c>
      <c r="B36">
        <v>94.94</v>
      </c>
      <c r="C36">
        <v>70.5</v>
      </c>
      <c r="D36">
        <v>144</v>
      </c>
    </row>
    <row r="37" spans="1:14">
      <c r="A37" s="2">
        <v>94</v>
      </c>
      <c r="B37">
        <v>89.4</v>
      </c>
      <c r="C37">
        <v>64.5</v>
      </c>
      <c r="D37">
        <v>139</v>
      </c>
      <c r="G37" s="3" t="s">
        <v>4</v>
      </c>
      <c r="H37" s="3"/>
      <c r="J37" s="3" t="s">
        <v>3</v>
      </c>
      <c r="K37" s="3"/>
      <c r="M37" s="3" t="s">
        <v>2</v>
      </c>
      <c r="N37" s="3"/>
    </row>
    <row r="38" spans="1:14">
      <c r="A38" s="2">
        <v>74</v>
      </c>
      <c r="B38">
        <v>93</v>
      </c>
      <c r="C38">
        <v>74</v>
      </c>
      <c r="D38">
        <v>148</v>
      </c>
      <c r="G38" s="1" t="s">
        <v>1</v>
      </c>
      <c r="H38" s="1" t="s">
        <v>0</v>
      </c>
      <c r="J38" s="1" t="s">
        <v>1</v>
      </c>
      <c r="K38" s="1" t="s">
        <v>0</v>
      </c>
      <c r="M38" s="1" t="s">
        <v>1</v>
      </c>
      <c r="N38" s="1" t="s">
        <v>0</v>
      </c>
    </row>
    <row r="39" spans="1:14">
      <c r="A39" s="2">
        <v>89</v>
      </c>
      <c r="B39">
        <v>93.59</v>
      </c>
      <c r="C39">
        <v>75.5</v>
      </c>
      <c r="D39">
        <v>179</v>
      </c>
      <c r="G39" s="1">
        <f>G30-H33*H35</f>
        <v>53.167312748627126</v>
      </c>
      <c r="H39" s="1">
        <f>G30+H33*H35</f>
        <v>130.75989699309383</v>
      </c>
      <c r="J39" s="1">
        <f>G30-H33*K35</f>
        <v>40.976634239895908</v>
      </c>
      <c r="K39" s="1">
        <f>G30+H33*K35</f>
        <v>142.95057550182506</v>
      </c>
      <c r="M39" s="1">
        <f>G30-H33*N35</f>
        <v>66.596072967848741</v>
      </c>
      <c r="N39" s="1">
        <f>G30+H33*N35</f>
        <v>117.33113677387222</v>
      </c>
    </row>
  </sheetData>
  <mergeCells count="3">
    <mergeCell ref="G37:H37"/>
    <mergeCell ref="J37:K37"/>
    <mergeCell ref="M37:N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Marc-Olivier Boldi</dc:creator>
  <cp:lastModifiedBy>Marc-Olivier Boldi</cp:lastModifiedBy>
  <dcterms:created xsi:type="dcterms:W3CDTF">2018-06-14T16:17:42Z</dcterms:created>
  <dcterms:modified xsi:type="dcterms:W3CDTF">2018-06-14T16:18:16Z</dcterms:modified>
</cp:coreProperties>
</file>