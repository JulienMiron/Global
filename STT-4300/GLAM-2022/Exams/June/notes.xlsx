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cantoni\Dropbox\GLAM-2022\JuneExam\"/>
    </mc:Choice>
  </mc:AlternateContent>
  <xr:revisionPtr revIDLastSave="0" documentId="13_ncr:1_{202B459A-342D-4C3A-A17A-B4815CC9808A}" xr6:coauthVersionLast="47" xr6:coauthVersionMax="47" xr10:uidLastSave="{00000000-0000-0000-0000-000000000000}"/>
  <bookViews>
    <workbookView xWindow="970" yWindow="-110" windowWidth="18340" windowHeight="11020" tabRatio="522" xr2:uid="{00000000-000D-0000-FFFF-FFFF00000000}"/>
  </bookViews>
  <sheets>
    <sheet name="Feuil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5" i="1" l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3" i="1"/>
  <c r="AB21" i="1" l="1"/>
  <c r="AO21" i="1" s="1"/>
  <c r="AB5" i="1"/>
  <c r="AO5" i="1" s="1"/>
  <c r="AB7" i="1"/>
  <c r="AN7" i="1" s="1"/>
  <c r="AP7" i="1" s="1"/>
  <c r="AB8" i="1"/>
  <c r="AO8" i="1" s="1"/>
  <c r="AB9" i="1"/>
  <c r="AO9" i="1" s="1"/>
  <c r="AB10" i="1"/>
  <c r="AN10" i="1" s="1"/>
  <c r="AP10" i="1" s="1"/>
  <c r="AB11" i="1"/>
  <c r="AN11" i="1" s="1"/>
  <c r="AP11" i="1" s="1"/>
  <c r="AB12" i="1"/>
  <c r="AN12" i="1" s="1"/>
  <c r="AP12" i="1" s="1"/>
  <c r="AB13" i="1"/>
  <c r="AN13" i="1" s="1"/>
  <c r="AP13" i="1" s="1"/>
  <c r="AB14" i="1"/>
  <c r="AO14" i="1" s="1"/>
  <c r="AB15" i="1"/>
  <c r="AB16" i="1"/>
  <c r="AO16" i="1" s="1"/>
  <c r="AB17" i="1"/>
  <c r="AO17" i="1" s="1"/>
  <c r="AB18" i="1"/>
  <c r="AN18" i="1" s="1"/>
  <c r="AP18" i="1" s="1"/>
  <c r="AB19" i="1"/>
  <c r="AN19" i="1" s="1"/>
  <c r="AP19" i="1" s="1"/>
  <c r="AB20" i="1"/>
  <c r="AN20" i="1" s="1"/>
  <c r="AP20" i="1" s="1"/>
  <c r="AB3" i="1"/>
  <c r="AO3" i="1" s="1"/>
  <c r="AB6" i="1"/>
  <c r="AN6" i="1" s="1"/>
  <c r="AP6" i="1" s="1"/>
  <c r="AN5" i="1" l="1"/>
  <c r="AP5" i="1" s="1"/>
  <c r="AO20" i="1"/>
  <c r="AN14" i="1"/>
  <c r="AP14" i="1" s="1"/>
  <c r="AN16" i="1"/>
  <c r="AP16" i="1" s="1"/>
  <c r="AO18" i="1"/>
  <c r="AO25" i="1"/>
  <c r="AO26" i="1"/>
  <c r="AO7" i="1"/>
  <c r="AO11" i="1"/>
  <c r="AN8" i="1"/>
  <c r="AP8" i="1" s="1"/>
  <c r="AO13" i="1"/>
  <c r="AO10" i="1"/>
  <c r="AN21" i="1"/>
  <c r="AP21" i="1" s="1"/>
  <c r="AN17" i="1"/>
  <c r="AP17" i="1" s="1"/>
  <c r="AN3" i="1"/>
  <c r="AO6" i="1"/>
  <c r="AN9" i="1"/>
  <c r="AP9" i="1" s="1"/>
  <c r="AL15" i="1"/>
  <c r="AM15" i="1" s="1"/>
  <c r="AO15" i="1"/>
  <c r="AO12" i="1"/>
  <c r="AO19" i="1"/>
  <c r="AO27" i="1" s="1"/>
  <c r="AN15" i="1"/>
  <c r="AP15" i="1" s="1"/>
  <c r="AL17" i="1"/>
  <c r="AM17" i="1" s="1"/>
  <c r="AL12" i="1"/>
  <c r="AM12" i="1" s="1"/>
  <c r="AL9" i="1"/>
  <c r="AM9" i="1" s="1"/>
  <c r="AL21" i="1"/>
  <c r="AM21" i="1" s="1"/>
  <c r="AL20" i="1"/>
  <c r="AM20" i="1" s="1"/>
  <c r="AL11" i="1"/>
  <c r="AM11" i="1" s="1"/>
  <c r="AL13" i="1"/>
  <c r="AM13" i="1" s="1"/>
  <c r="AL5" i="1"/>
  <c r="AM5" i="1" s="1"/>
  <c r="AL14" i="1"/>
  <c r="AM14" i="1" s="1"/>
  <c r="AL10" i="1"/>
  <c r="AM10" i="1" s="1"/>
  <c r="AL7" i="1"/>
  <c r="AM7" i="1" s="1"/>
  <c r="AL19" i="1"/>
  <c r="AM19" i="1" s="1"/>
  <c r="AL18" i="1"/>
  <c r="AM18" i="1" s="1"/>
  <c r="AL16" i="1"/>
  <c r="AM16" i="1" s="1"/>
  <c r="AL8" i="1"/>
  <c r="AM8" i="1" s="1"/>
  <c r="AL6" i="1"/>
  <c r="AM6" i="1" s="1"/>
  <c r="AL3" i="1"/>
  <c r="AL26" i="1" l="1"/>
  <c r="AL27" i="1"/>
  <c r="AL25" i="1"/>
  <c r="AN27" i="1"/>
  <c r="AN25" i="1"/>
  <c r="AN26" i="1"/>
  <c r="AO28" i="1"/>
  <c r="AO24" i="1"/>
  <c r="AM3" i="1"/>
  <c r="AL28" i="1"/>
  <c r="AL24" i="1"/>
  <c r="AP3" i="1"/>
  <c r="AN28" i="1"/>
  <c r="AN24" i="1"/>
  <c r="AP27" i="1" l="1"/>
  <c r="AP25" i="1"/>
  <c r="AP26" i="1"/>
  <c r="AM27" i="1"/>
  <c r="AM26" i="1"/>
  <c r="AM25" i="1"/>
  <c r="AP24" i="1"/>
  <c r="AP28" i="1"/>
  <c r="AM28" i="1"/>
  <c r="AM24" i="1"/>
</calcChain>
</file>

<file path=xl/sharedStrings.xml><?xml version="1.0" encoding="utf-8"?>
<sst xmlns="http://schemas.openxmlformats.org/spreadsheetml/2006/main" count="90" uniqueCount="87">
  <si>
    <t>Exercise 1</t>
  </si>
  <si>
    <t>Exercise 2</t>
  </si>
  <si>
    <t>Total</t>
  </si>
  <si>
    <t>N° immatriculation</t>
  </si>
  <si>
    <t>Nom de famille</t>
  </si>
  <si>
    <t>Prénom</t>
  </si>
  <si>
    <t>BEELER</t>
  </si>
  <si>
    <t>LEO SERAFINO</t>
  </si>
  <si>
    <t>CABRA MONTES</t>
  </si>
  <si>
    <t>PABLO</t>
  </si>
  <si>
    <t>ABS</t>
  </si>
  <si>
    <t>D SOUZA</t>
  </si>
  <si>
    <t>MARILYN LUCIANA</t>
  </si>
  <si>
    <t>DANIEL</t>
  </si>
  <si>
    <t>VICTOR</t>
  </si>
  <si>
    <t>DEYANOV</t>
  </si>
  <si>
    <t>BORIS RUMENOV</t>
  </si>
  <si>
    <t>GAYDUKOVA</t>
  </si>
  <si>
    <t>ANNA IGOREVNA</t>
  </si>
  <si>
    <t>LIU</t>
  </si>
  <si>
    <t>DONGMEI</t>
  </si>
  <si>
    <t>YU</t>
  </si>
  <si>
    <t>PRITOULA</t>
  </si>
  <si>
    <t>ALEXANDRA</t>
  </si>
  <si>
    <t>SAKENYTE</t>
  </si>
  <si>
    <t>UGNE</t>
  </si>
  <si>
    <t>SCHUMACHER</t>
  </si>
  <si>
    <t>PAUL EDWARD</t>
  </si>
  <si>
    <t>TRAN</t>
  </si>
  <si>
    <t>NGUYEN HUONG</t>
  </si>
  <si>
    <t xml:space="preserve">ACOSTA </t>
  </si>
  <si>
    <t>HENAO FRANCISCO</t>
  </si>
  <si>
    <t>CHEN</t>
  </si>
  <si>
    <t>JIAHAO</t>
  </si>
  <si>
    <t>CIVICO</t>
  </si>
  <si>
    <t>MARCO</t>
  </si>
  <si>
    <t>LI</t>
  </si>
  <si>
    <t>DANYU</t>
  </si>
  <si>
    <t>SCATOLLIN</t>
  </si>
  <si>
    <t>ALICE</t>
  </si>
  <si>
    <t>YANG</t>
  </si>
  <si>
    <t>ISA IRENE SHUZHEN</t>
  </si>
  <si>
    <t>1.1 (1pt)</t>
  </si>
  <si>
    <t>1.2 (2pts)</t>
  </si>
  <si>
    <t>1.3 (3pts)</t>
  </si>
  <si>
    <t>1.4 (2pts)</t>
  </si>
  <si>
    <t>1.5 (2pts)</t>
  </si>
  <si>
    <t>1.6 (2pts)</t>
  </si>
  <si>
    <t>1.7 (2pts)</t>
  </si>
  <si>
    <t>1.8 (2pts)</t>
  </si>
  <si>
    <t>1.9 (2pts)</t>
  </si>
  <si>
    <t>1.10 (3pts)</t>
  </si>
  <si>
    <t>1.11 (1pt)</t>
  </si>
  <si>
    <t>1.12 (2pts)</t>
  </si>
  <si>
    <t>1.13 (2pts)</t>
  </si>
  <si>
    <t>1.14 (2pts)</t>
  </si>
  <si>
    <t>1.15 (2pts)</t>
  </si>
  <si>
    <t>1.16 (2pts)</t>
  </si>
  <si>
    <t>1.17 (2pts)</t>
  </si>
  <si>
    <t>1.18 (1pt)</t>
  </si>
  <si>
    <t>1.19 (1pt)</t>
  </si>
  <si>
    <t>1.20 (1pt)</t>
  </si>
  <si>
    <t>1.21 (2pts)</t>
  </si>
  <si>
    <t>1.22 (2pts)</t>
  </si>
  <si>
    <t>1.23 (1pt)</t>
  </si>
  <si>
    <t>2.1 (3pts)</t>
  </si>
  <si>
    <t>2.2 (2pts)</t>
  </si>
  <si>
    <t>2.3 (2pts)</t>
  </si>
  <si>
    <t>2.4 (2pts)</t>
  </si>
  <si>
    <t>2.5 (3pts)</t>
  </si>
  <si>
    <t>2.6 (3pts)</t>
  </si>
  <si>
    <t>2.7 (2pts)</t>
  </si>
  <si>
    <t>2.8 (1pt)</t>
  </si>
  <si>
    <t>FAVRE</t>
  </si>
  <si>
    <t>ELOI</t>
  </si>
  <si>
    <t>Présence</t>
  </si>
  <si>
    <t>Note sur 60</t>
  </si>
  <si>
    <t>Note sur 6</t>
  </si>
  <si>
    <t>(continue d'écrire après la fin)</t>
  </si>
  <si>
    <t>Note sur 54</t>
  </si>
  <si>
    <t>Note sur 55</t>
  </si>
  <si>
    <t>minimum</t>
  </si>
  <si>
    <t>0.9-quantile</t>
  </si>
  <si>
    <t>0.8-quantile</t>
  </si>
  <si>
    <t>maximum</t>
  </si>
  <si>
    <t>Note finale (sur 54 points) arrondie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</si>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</sst>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C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Fill="1"/>
    <xf numFmtId="0" fontId="0" fillId="2" borderId="0" xfId="0" applyFill="1"/>
    <xf numFmtId="0" fontId="1" fillId="2" borderId="0" xfId="0" applyFont="1" applyFill="1"/>
    <xf numFmtId="2" fontId="0" fillId="2" borderId="0" xfId="0" applyNumberFormat="1" applyFill="1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8"/>
  <sheetViews>
    <sheetView tabSelected="1" zoomScale="120" zoomScaleNormal="120" workbookViewId="0">
      <pane xSplit="4" ySplit="2" topLeftCell="AK3" activePane="bottomRight" state="frozen"/>
      <selection pane="topRight" activeCell="E1" sqref="E1"/>
      <selection pane="bottomLeft" activeCell="A3" sqref="A3"/>
      <selection pane="bottomRight" activeCell="C9" sqref="C9"/>
    </sheetView>
  </sheetViews>
  <sheetFormatPr defaultColWidth="10.90625" defaultRowHeight="14.5" x14ac:dyDescent="0.35"/>
  <cols>
    <col min="2" max="2" width="15.26953125" customWidth="1"/>
    <col min="3" max="3" width="18.54296875" customWidth="1"/>
    <col min="4" max="4" width="12.54296875" hidden="1" customWidth="1"/>
    <col min="40" max="41" width="15.90625" style="9" customWidth="1"/>
    <col min="42" max="42" width="20.7265625" customWidth="1"/>
  </cols>
  <sheetData>
    <row r="1" spans="1:43" x14ac:dyDescent="0.35">
      <c r="E1" t="s">
        <v>0</v>
      </c>
      <c r="AC1" t="s">
        <v>1</v>
      </c>
    </row>
    <row r="2" spans="1:43" x14ac:dyDescent="0.35">
      <c r="A2" t="s">
        <v>3</v>
      </c>
      <c r="B2" t="s">
        <v>4</v>
      </c>
      <c r="C2" t="s">
        <v>5</v>
      </c>
      <c r="D2" t="s">
        <v>75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2</v>
      </c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 t="s">
        <v>72</v>
      </c>
      <c r="AK2" t="s">
        <v>2</v>
      </c>
      <c r="AL2" t="s">
        <v>76</v>
      </c>
      <c r="AM2" t="s">
        <v>77</v>
      </c>
      <c r="AN2" s="9" t="s">
        <v>79</v>
      </c>
      <c r="AO2" s="9" t="s">
        <v>80</v>
      </c>
      <c r="AP2" s="7" t="s">
        <v>85</v>
      </c>
    </row>
    <row r="3" spans="1:43" x14ac:dyDescent="0.35">
      <c r="B3" t="s">
        <v>30</v>
      </c>
      <c r="C3" t="s">
        <v>31</v>
      </c>
      <c r="E3" s="1">
        <v>1</v>
      </c>
      <c r="F3" s="1">
        <v>2</v>
      </c>
      <c r="G3">
        <v>2</v>
      </c>
      <c r="H3">
        <v>0</v>
      </c>
      <c r="I3" s="1">
        <v>1</v>
      </c>
      <c r="J3" s="1">
        <v>0.5</v>
      </c>
      <c r="K3" s="1">
        <v>2</v>
      </c>
      <c r="L3" s="1">
        <v>1.5</v>
      </c>
      <c r="M3" s="1">
        <v>2</v>
      </c>
      <c r="N3" s="1">
        <v>2.5</v>
      </c>
      <c r="O3" s="1">
        <v>1</v>
      </c>
      <c r="P3" s="1">
        <v>1</v>
      </c>
      <c r="Q3" s="1">
        <v>2</v>
      </c>
      <c r="R3" s="1">
        <v>0.5</v>
      </c>
      <c r="S3" s="1">
        <v>2</v>
      </c>
      <c r="T3" s="1">
        <v>1.5</v>
      </c>
      <c r="U3" s="1">
        <v>1.5</v>
      </c>
      <c r="V3" s="1">
        <v>0</v>
      </c>
      <c r="W3" s="1">
        <v>0</v>
      </c>
      <c r="X3" s="1">
        <v>0.5</v>
      </c>
      <c r="Y3" s="1">
        <v>2</v>
      </c>
      <c r="Z3" s="1">
        <v>0</v>
      </c>
      <c r="AA3" s="1">
        <v>1</v>
      </c>
      <c r="AB3" s="1">
        <f>SUM(E3:AA3)</f>
        <v>27.5</v>
      </c>
      <c r="AC3" s="1">
        <v>3</v>
      </c>
      <c r="AD3" s="1">
        <v>2</v>
      </c>
      <c r="AE3" s="1">
        <v>2</v>
      </c>
      <c r="AF3" s="1">
        <v>2</v>
      </c>
      <c r="AG3" s="1">
        <v>2.5</v>
      </c>
      <c r="AH3" s="1">
        <v>2</v>
      </c>
      <c r="AI3" s="1">
        <v>1.5</v>
      </c>
      <c r="AJ3" s="1">
        <v>1</v>
      </c>
      <c r="AK3">
        <f>SUM(AC3:AJ3)</f>
        <v>16</v>
      </c>
      <c r="AL3">
        <f>AK3+AB3</f>
        <v>43.5</v>
      </c>
      <c r="AM3">
        <f>AL3/10</f>
        <v>4.3499999999999996</v>
      </c>
      <c r="AN3" s="9">
        <f>(AK3+AB3)/54*6</f>
        <v>4.8333333333333339</v>
      </c>
      <c r="AO3" s="9">
        <f>(AK3+AB3)/55*6</f>
        <v>4.7454545454545451</v>
      </c>
      <c r="AP3" s="7">
        <f xml:space="preserve"> ROUND(4*AN3,0)/4</f>
        <v>4.75</v>
      </c>
    </row>
    <row r="4" spans="1:43" x14ac:dyDescent="0.35">
      <c r="A4" s="4">
        <v>17724683</v>
      </c>
      <c r="B4" s="4" t="s">
        <v>6</v>
      </c>
      <c r="C4" s="4" t="s">
        <v>7</v>
      </c>
      <c r="D4" s="4" t="s">
        <v>10</v>
      </c>
      <c r="E4" s="5"/>
      <c r="F4" s="4"/>
      <c r="G4" s="4"/>
      <c r="H4" s="5"/>
      <c r="I4" s="4"/>
      <c r="J4" s="4"/>
      <c r="K4" s="4"/>
      <c r="L4" s="4"/>
      <c r="M4" s="4"/>
      <c r="N4" s="4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4"/>
      <c r="AG4" s="4"/>
      <c r="AH4" s="4"/>
      <c r="AI4" s="4"/>
      <c r="AJ4" s="4"/>
      <c r="AK4" s="4"/>
      <c r="AL4" s="4"/>
      <c r="AM4" s="4"/>
      <c r="AN4" s="6"/>
      <c r="AO4" s="6"/>
      <c r="AP4" s="4" t="s">
        <v>10</v>
      </c>
    </row>
    <row r="5" spans="1:43" x14ac:dyDescent="0.35">
      <c r="A5">
        <v>21310149</v>
      </c>
      <c r="B5" t="s">
        <v>8</v>
      </c>
      <c r="C5" t="s">
        <v>9</v>
      </c>
      <c r="E5">
        <v>1</v>
      </c>
      <c r="F5">
        <v>1</v>
      </c>
      <c r="G5">
        <v>2.5</v>
      </c>
      <c r="H5">
        <v>0.5</v>
      </c>
      <c r="I5">
        <v>1</v>
      </c>
      <c r="J5">
        <v>0</v>
      </c>
      <c r="K5">
        <v>0</v>
      </c>
      <c r="L5">
        <v>0</v>
      </c>
      <c r="M5">
        <v>2</v>
      </c>
      <c r="N5">
        <v>1</v>
      </c>
      <c r="O5">
        <v>1</v>
      </c>
      <c r="P5">
        <v>2</v>
      </c>
      <c r="Q5">
        <v>2</v>
      </c>
      <c r="R5">
        <v>2</v>
      </c>
      <c r="S5">
        <v>1.5</v>
      </c>
      <c r="T5">
        <v>1.5</v>
      </c>
      <c r="U5">
        <v>2</v>
      </c>
      <c r="V5">
        <v>0.5</v>
      </c>
      <c r="W5">
        <v>1</v>
      </c>
      <c r="X5">
        <v>1</v>
      </c>
      <c r="Y5">
        <v>1.5</v>
      </c>
      <c r="Z5">
        <v>2</v>
      </c>
      <c r="AA5">
        <v>1</v>
      </c>
      <c r="AB5" s="1">
        <f t="shared" ref="AB5:AB21" si="0">SUM(E5:AA5)</f>
        <v>28</v>
      </c>
      <c r="AC5">
        <v>2.5</v>
      </c>
      <c r="AD5">
        <v>2</v>
      </c>
      <c r="AE5">
        <v>2</v>
      </c>
      <c r="AF5">
        <v>2</v>
      </c>
      <c r="AG5">
        <v>2</v>
      </c>
      <c r="AH5">
        <v>0.5</v>
      </c>
      <c r="AI5">
        <v>0</v>
      </c>
      <c r="AJ5">
        <v>0</v>
      </c>
      <c r="AK5">
        <f t="shared" ref="AK5:AK21" si="1">SUM(AC5:AJ5)</f>
        <v>11</v>
      </c>
      <c r="AL5">
        <f t="shared" ref="AL5:AL21" si="2">AK5+AB5</f>
        <v>39</v>
      </c>
      <c r="AM5">
        <f t="shared" ref="AM5:AM21" si="3">AL5/10</f>
        <v>3.9</v>
      </c>
      <c r="AN5" s="9">
        <f t="shared" ref="AN5:AN21" si="4">(AK5+AB5)/54*6</f>
        <v>4.333333333333333</v>
      </c>
      <c r="AO5" s="9">
        <f t="shared" ref="AO5:AO21" si="5">(AK5+AB5)/55*6</f>
        <v>4.2545454545454549</v>
      </c>
      <c r="AP5" s="7">
        <f t="shared" ref="AP5:AP21" si="6" xml:space="preserve"> ROUND(4*AN5,0)/4</f>
        <v>4.25</v>
      </c>
    </row>
    <row r="6" spans="1:43" x14ac:dyDescent="0.35">
      <c r="B6" t="s">
        <v>32</v>
      </c>
      <c r="C6" t="s">
        <v>33</v>
      </c>
      <c r="E6">
        <v>1</v>
      </c>
      <c r="F6">
        <v>1.5</v>
      </c>
      <c r="G6">
        <v>2.5</v>
      </c>
      <c r="H6">
        <v>1.5</v>
      </c>
      <c r="I6">
        <v>2</v>
      </c>
      <c r="J6">
        <v>1</v>
      </c>
      <c r="K6">
        <v>0</v>
      </c>
      <c r="L6">
        <v>0.5</v>
      </c>
      <c r="M6">
        <v>2</v>
      </c>
      <c r="N6">
        <v>0.5</v>
      </c>
      <c r="O6">
        <v>1</v>
      </c>
      <c r="P6">
        <v>1.5</v>
      </c>
      <c r="Q6">
        <v>2</v>
      </c>
      <c r="R6">
        <v>0.5</v>
      </c>
      <c r="S6">
        <v>0.5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1">
        <f t="shared" si="0"/>
        <v>19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2"/>
        <v>19</v>
      </c>
      <c r="AM6">
        <f t="shared" si="3"/>
        <v>1.9</v>
      </c>
      <c r="AN6" s="9">
        <f t="shared" si="4"/>
        <v>2.1111111111111112</v>
      </c>
      <c r="AO6" s="9">
        <f t="shared" si="5"/>
        <v>2.0727272727272728</v>
      </c>
      <c r="AP6" s="8">
        <f t="shared" si="6"/>
        <v>2</v>
      </c>
      <c r="AQ6" t="s">
        <v>78</v>
      </c>
    </row>
    <row r="7" spans="1:43" x14ac:dyDescent="0.35">
      <c r="B7" t="s">
        <v>34</v>
      </c>
      <c r="C7" t="s">
        <v>35</v>
      </c>
      <c r="E7">
        <v>1</v>
      </c>
      <c r="F7">
        <v>2</v>
      </c>
      <c r="G7">
        <v>1</v>
      </c>
      <c r="H7">
        <v>1.5</v>
      </c>
      <c r="I7">
        <v>0</v>
      </c>
      <c r="J7">
        <v>0</v>
      </c>
      <c r="K7">
        <v>0</v>
      </c>
      <c r="L7">
        <v>0</v>
      </c>
      <c r="M7">
        <v>2</v>
      </c>
      <c r="N7">
        <v>1.5</v>
      </c>
      <c r="O7">
        <v>1</v>
      </c>
      <c r="P7">
        <v>1</v>
      </c>
      <c r="Q7">
        <v>2</v>
      </c>
      <c r="R7">
        <v>1.5</v>
      </c>
      <c r="S7">
        <v>2</v>
      </c>
      <c r="T7">
        <v>2</v>
      </c>
      <c r="U7">
        <v>1</v>
      </c>
      <c r="V7">
        <v>0</v>
      </c>
      <c r="W7">
        <v>0.5</v>
      </c>
      <c r="X7">
        <v>0</v>
      </c>
      <c r="Y7">
        <v>1</v>
      </c>
      <c r="Z7">
        <v>1</v>
      </c>
      <c r="AA7">
        <v>1</v>
      </c>
      <c r="AB7" s="1">
        <f t="shared" si="0"/>
        <v>23</v>
      </c>
      <c r="AC7">
        <v>3</v>
      </c>
      <c r="AD7">
        <v>2</v>
      </c>
      <c r="AE7">
        <v>1</v>
      </c>
      <c r="AF7">
        <v>2</v>
      </c>
      <c r="AG7">
        <v>0</v>
      </c>
      <c r="AH7">
        <v>0</v>
      </c>
      <c r="AI7">
        <v>0</v>
      </c>
      <c r="AJ7">
        <v>1</v>
      </c>
      <c r="AK7">
        <f t="shared" si="1"/>
        <v>9</v>
      </c>
      <c r="AL7">
        <f t="shared" si="2"/>
        <v>32</v>
      </c>
      <c r="AM7">
        <f t="shared" si="3"/>
        <v>3.2</v>
      </c>
      <c r="AN7" s="9">
        <f t="shared" si="4"/>
        <v>3.5555555555555554</v>
      </c>
      <c r="AO7" s="9">
        <f t="shared" si="5"/>
        <v>3.4909090909090907</v>
      </c>
      <c r="AP7" s="10">
        <f t="shared" si="6"/>
        <v>3.5</v>
      </c>
    </row>
    <row r="8" spans="1:43" x14ac:dyDescent="0.35">
      <c r="A8">
        <v>21310362</v>
      </c>
      <c r="B8" t="s">
        <v>11</v>
      </c>
      <c r="C8" t="s">
        <v>12</v>
      </c>
      <c r="E8">
        <v>1</v>
      </c>
      <c r="F8">
        <v>2</v>
      </c>
      <c r="G8" s="2">
        <v>3</v>
      </c>
      <c r="H8" s="2">
        <v>0</v>
      </c>
      <c r="I8" s="2">
        <v>0</v>
      </c>
      <c r="J8" s="2">
        <v>0</v>
      </c>
      <c r="K8" s="2">
        <v>0.5</v>
      </c>
      <c r="L8" s="2">
        <v>1</v>
      </c>
      <c r="M8" s="2">
        <v>2</v>
      </c>
      <c r="N8" s="2">
        <v>1</v>
      </c>
      <c r="O8">
        <v>1</v>
      </c>
      <c r="P8">
        <v>1</v>
      </c>
      <c r="Q8">
        <v>2</v>
      </c>
      <c r="R8">
        <v>2</v>
      </c>
      <c r="S8">
        <v>2</v>
      </c>
      <c r="T8">
        <v>1.5</v>
      </c>
      <c r="U8">
        <v>1</v>
      </c>
      <c r="V8">
        <v>0.5</v>
      </c>
      <c r="W8">
        <v>0</v>
      </c>
      <c r="X8">
        <v>1</v>
      </c>
      <c r="Y8">
        <v>1</v>
      </c>
      <c r="Z8">
        <v>0</v>
      </c>
      <c r="AA8">
        <v>1</v>
      </c>
      <c r="AB8" s="1">
        <f t="shared" si="0"/>
        <v>24.5</v>
      </c>
      <c r="AC8">
        <v>3</v>
      </c>
      <c r="AD8">
        <v>2</v>
      </c>
      <c r="AE8">
        <v>2</v>
      </c>
      <c r="AF8">
        <v>2</v>
      </c>
      <c r="AG8">
        <v>0.5</v>
      </c>
      <c r="AH8">
        <v>1</v>
      </c>
      <c r="AI8">
        <v>0</v>
      </c>
      <c r="AJ8">
        <v>0</v>
      </c>
      <c r="AK8">
        <f t="shared" si="1"/>
        <v>10.5</v>
      </c>
      <c r="AL8">
        <f t="shared" si="2"/>
        <v>35</v>
      </c>
      <c r="AM8">
        <f t="shared" si="3"/>
        <v>3.5</v>
      </c>
      <c r="AN8" s="9">
        <f t="shared" si="4"/>
        <v>3.8888888888888888</v>
      </c>
      <c r="AO8" s="9">
        <f t="shared" si="5"/>
        <v>3.8181818181818183</v>
      </c>
      <c r="AP8" s="7">
        <f t="shared" si="6"/>
        <v>4</v>
      </c>
    </row>
    <row r="9" spans="1:43" x14ac:dyDescent="0.35">
      <c r="A9">
        <v>12319307</v>
      </c>
      <c r="B9" t="s">
        <v>13</v>
      </c>
      <c r="C9" t="s">
        <v>14</v>
      </c>
      <c r="E9" s="3">
        <v>0</v>
      </c>
      <c r="F9" s="2">
        <v>2</v>
      </c>
      <c r="G9" s="2">
        <v>0.5</v>
      </c>
      <c r="H9" s="2">
        <v>1.5</v>
      </c>
      <c r="I9" s="2">
        <v>0</v>
      </c>
      <c r="J9" s="2">
        <v>0</v>
      </c>
      <c r="K9" s="2">
        <v>0</v>
      </c>
      <c r="L9" s="2">
        <v>0.5</v>
      </c>
      <c r="M9" s="2">
        <v>0</v>
      </c>
      <c r="N9" s="2">
        <v>2.5</v>
      </c>
      <c r="O9" s="2">
        <v>1</v>
      </c>
      <c r="P9" s="2">
        <v>0.5</v>
      </c>
      <c r="Q9" s="2">
        <v>2</v>
      </c>
      <c r="R9" s="2">
        <v>1</v>
      </c>
      <c r="S9" s="2">
        <v>2</v>
      </c>
      <c r="T9" s="2">
        <v>2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2</v>
      </c>
      <c r="AA9" s="2">
        <v>1</v>
      </c>
      <c r="AB9" s="1">
        <f t="shared" si="0"/>
        <v>23.5</v>
      </c>
      <c r="AC9" s="2">
        <v>3</v>
      </c>
      <c r="AD9" s="2">
        <v>2</v>
      </c>
      <c r="AE9" s="2">
        <v>2</v>
      </c>
      <c r="AF9" s="2">
        <v>2</v>
      </c>
      <c r="AG9" s="2">
        <v>2.5</v>
      </c>
      <c r="AH9" s="2">
        <v>0</v>
      </c>
      <c r="AI9" s="2">
        <v>0</v>
      </c>
      <c r="AJ9">
        <v>0.5</v>
      </c>
      <c r="AK9">
        <f t="shared" si="1"/>
        <v>12</v>
      </c>
      <c r="AL9">
        <f t="shared" si="2"/>
        <v>35.5</v>
      </c>
      <c r="AM9">
        <f t="shared" si="3"/>
        <v>3.55</v>
      </c>
      <c r="AN9" s="9">
        <f t="shared" si="4"/>
        <v>3.9444444444444446</v>
      </c>
      <c r="AO9" s="9">
        <f t="shared" si="5"/>
        <v>3.872727272727273</v>
      </c>
      <c r="AP9" s="7">
        <f t="shared" si="6"/>
        <v>4</v>
      </c>
    </row>
    <row r="10" spans="1:43" x14ac:dyDescent="0.35">
      <c r="A10">
        <v>21310396</v>
      </c>
      <c r="B10" t="s">
        <v>15</v>
      </c>
      <c r="C10" t="s">
        <v>16</v>
      </c>
      <c r="E10" s="1">
        <v>1</v>
      </c>
      <c r="F10" s="2">
        <v>2</v>
      </c>
      <c r="G10" s="2">
        <v>1.5</v>
      </c>
      <c r="H10" s="2">
        <v>1</v>
      </c>
      <c r="I10" s="2">
        <v>0</v>
      </c>
      <c r="J10" s="2">
        <v>0</v>
      </c>
      <c r="K10" s="2">
        <v>0</v>
      </c>
      <c r="L10" s="2">
        <v>2</v>
      </c>
      <c r="M10" s="2">
        <v>1.5</v>
      </c>
      <c r="N10" s="2">
        <v>2.5</v>
      </c>
      <c r="O10" s="2">
        <v>0.5</v>
      </c>
      <c r="P10" s="2">
        <v>0</v>
      </c>
      <c r="Q10" s="2">
        <v>2</v>
      </c>
      <c r="R10" s="2">
        <v>0.5</v>
      </c>
      <c r="S10" s="2">
        <v>2</v>
      </c>
      <c r="T10" s="2">
        <v>0.5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1">
        <f t="shared" si="0"/>
        <v>17</v>
      </c>
      <c r="AC10" s="2">
        <v>2.5</v>
      </c>
      <c r="AD10" s="2">
        <v>2</v>
      </c>
      <c r="AE10" s="2">
        <v>0</v>
      </c>
      <c r="AF10" s="2">
        <v>1.5</v>
      </c>
      <c r="AG10" s="2">
        <v>0.5</v>
      </c>
      <c r="AH10" s="2">
        <v>0</v>
      </c>
      <c r="AI10" s="2">
        <v>0</v>
      </c>
      <c r="AJ10" s="2">
        <v>0</v>
      </c>
      <c r="AK10">
        <f t="shared" si="1"/>
        <v>6.5</v>
      </c>
      <c r="AL10">
        <f t="shared" si="2"/>
        <v>23.5</v>
      </c>
      <c r="AM10">
        <f t="shared" si="3"/>
        <v>2.35</v>
      </c>
      <c r="AN10" s="9">
        <f t="shared" si="4"/>
        <v>2.6111111111111112</v>
      </c>
      <c r="AO10" s="9">
        <f t="shared" si="5"/>
        <v>2.5636363636363635</v>
      </c>
      <c r="AP10" s="8">
        <f t="shared" si="6"/>
        <v>2.5</v>
      </c>
    </row>
    <row r="11" spans="1:43" x14ac:dyDescent="0.35">
      <c r="B11" t="s">
        <v>73</v>
      </c>
      <c r="C11" t="s">
        <v>74</v>
      </c>
      <c r="E11" s="1">
        <v>0</v>
      </c>
      <c r="F11" s="2">
        <v>2</v>
      </c>
      <c r="G11" s="2">
        <v>3</v>
      </c>
      <c r="H11" s="2">
        <v>1.5</v>
      </c>
      <c r="I11" s="2">
        <v>1</v>
      </c>
      <c r="J11" s="2">
        <v>0</v>
      </c>
      <c r="K11" s="2">
        <v>0</v>
      </c>
      <c r="L11" s="2">
        <v>1</v>
      </c>
      <c r="M11" s="2">
        <v>2</v>
      </c>
      <c r="N11" s="2">
        <v>2.5</v>
      </c>
      <c r="O11" s="2">
        <v>1</v>
      </c>
      <c r="P11" s="2">
        <v>2</v>
      </c>
      <c r="Q11" s="2">
        <v>2</v>
      </c>
      <c r="R11" s="2">
        <v>2</v>
      </c>
      <c r="S11" s="2">
        <v>2</v>
      </c>
      <c r="T11" s="2">
        <v>1.5</v>
      </c>
      <c r="U11" s="2">
        <v>0.5</v>
      </c>
      <c r="V11" s="2">
        <v>0</v>
      </c>
      <c r="W11" s="2">
        <v>1</v>
      </c>
      <c r="X11" s="2">
        <v>1</v>
      </c>
      <c r="Y11" s="2">
        <v>2</v>
      </c>
      <c r="Z11" s="2">
        <v>1.5</v>
      </c>
      <c r="AA11" s="2">
        <v>1</v>
      </c>
      <c r="AB11" s="1">
        <f t="shared" si="0"/>
        <v>30.5</v>
      </c>
      <c r="AC11" s="2">
        <v>2</v>
      </c>
      <c r="AD11" s="2">
        <v>2</v>
      </c>
      <c r="AE11" s="2">
        <v>2</v>
      </c>
      <c r="AF11" s="2">
        <v>2</v>
      </c>
      <c r="AG11" s="2">
        <v>2.5</v>
      </c>
      <c r="AH11" s="2">
        <v>2</v>
      </c>
      <c r="AI11" s="2">
        <v>1.5</v>
      </c>
      <c r="AJ11" s="2">
        <v>1</v>
      </c>
      <c r="AK11">
        <f t="shared" si="1"/>
        <v>15</v>
      </c>
      <c r="AL11">
        <f t="shared" si="2"/>
        <v>45.5</v>
      </c>
      <c r="AM11">
        <f t="shared" si="3"/>
        <v>4.55</v>
      </c>
      <c r="AN11" s="9">
        <f t="shared" si="4"/>
        <v>5.0555555555555554</v>
      </c>
      <c r="AO11" s="9">
        <f t="shared" si="5"/>
        <v>4.9636363636363638</v>
      </c>
      <c r="AP11" s="7">
        <f t="shared" si="6"/>
        <v>5</v>
      </c>
    </row>
    <row r="12" spans="1:43" x14ac:dyDescent="0.35">
      <c r="A12">
        <v>21334776</v>
      </c>
      <c r="B12" t="s">
        <v>17</v>
      </c>
      <c r="C12" t="s">
        <v>18</v>
      </c>
      <c r="E12">
        <v>0</v>
      </c>
      <c r="F12" s="1">
        <v>2</v>
      </c>
      <c r="G12" s="2">
        <v>3</v>
      </c>
      <c r="H12" s="2">
        <v>2</v>
      </c>
      <c r="I12" s="2">
        <v>1</v>
      </c>
      <c r="J12" s="2">
        <v>0</v>
      </c>
      <c r="K12" s="2">
        <v>0</v>
      </c>
      <c r="L12" s="2">
        <v>2</v>
      </c>
      <c r="M12" s="2">
        <v>2</v>
      </c>
      <c r="N12" s="2">
        <v>2.5</v>
      </c>
      <c r="O12" s="2">
        <v>1</v>
      </c>
      <c r="P12" s="2">
        <v>1</v>
      </c>
      <c r="Q12" s="2">
        <v>2</v>
      </c>
      <c r="R12" s="2">
        <v>2</v>
      </c>
      <c r="S12" s="2">
        <v>2</v>
      </c>
      <c r="T12" s="2">
        <v>2</v>
      </c>
      <c r="U12" s="2">
        <v>1.5</v>
      </c>
      <c r="V12" s="2">
        <v>0</v>
      </c>
      <c r="W12" s="2">
        <v>1</v>
      </c>
      <c r="X12" s="2">
        <v>1</v>
      </c>
      <c r="Y12" s="2">
        <v>1</v>
      </c>
      <c r="Z12" s="2">
        <v>1.5</v>
      </c>
      <c r="AA12" s="2">
        <v>1</v>
      </c>
      <c r="AB12" s="1">
        <f t="shared" si="0"/>
        <v>31.5</v>
      </c>
      <c r="AC12" s="2">
        <v>3</v>
      </c>
      <c r="AD12" s="2">
        <v>1</v>
      </c>
      <c r="AE12" s="2">
        <v>0</v>
      </c>
      <c r="AF12" s="2">
        <v>0.5</v>
      </c>
      <c r="AG12" s="2">
        <v>1.5</v>
      </c>
      <c r="AH12" s="2">
        <v>0.5</v>
      </c>
      <c r="AI12" s="2">
        <v>0</v>
      </c>
      <c r="AJ12" s="2">
        <v>0</v>
      </c>
      <c r="AK12">
        <f t="shared" si="1"/>
        <v>6.5</v>
      </c>
      <c r="AL12">
        <f t="shared" si="2"/>
        <v>38</v>
      </c>
      <c r="AM12">
        <f t="shared" si="3"/>
        <v>3.8</v>
      </c>
      <c r="AN12" s="9">
        <f t="shared" si="4"/>
        <v>4.2222222222222223</v>
      </c>
      <c r="AO12" s="9">
        <f t="shared" si="5"/>
        <v>4.1454545454545455</v>
      </c>
      <c r="AP12" s="7">
        <f t="shared" si="6"/>
        <v>4.25</v>
      </c>
    </row>
    <row r="13" spans="1:43" x14ac:dyDescent="0.35">
      <c r="B13" t="s">
        <v>36</v>
      </c>
      <c r="C13" t="s">
        <v>37</v>
      </c>
      <c r="E13" s="1">
        <v>1</v>
      </c>
      <c r="F13" s="3">
        <v>2</v>
      </c>
      <c r="G13" s="2">
        <v>2</v>
      </c>
      <c r="H13" s="2">
        <v>2</v>
      </c>
      <c r="I13" s="2">
        <v>1</v>
      </c>
      <c r="J13" s="2">
        <v>0</v>
      </c>
      <c r="K13" s="2">
        <v>1</v>
      </c>
      <c r="L13" s="2">
        <v>1.5</v>
      </c>
      <c r="M13" s="2">
        <v>1.5</v>
      </c>
      <c r="N13" s="2">
        <v>2</v>
      </c>
      <c r="O13" s="2">
        <v>0.5</v>
      </c>
      <c r="P13" s="2">
        <v>2</v>
      </c>
      <c r="Q13" s="2">
        <v>1.5</v>
      </c>
      <c r="R13" s="2">
        <v>2</v>
      </c>
      <c r="S13" s="2">
        <v>1</v>
      </c>
      <c r="T13" s="2">
        <v>2</v>
      </c>
      <c r="U13" s="2">
        <v>1.5</v>
      </c>
      <c r="V13" s="2">
        <v>0</v>
      </c>
      <c r="W13" s="2">
        <v>1</v>
      </c>
      <c r="X13" s="2">
        <v>0.5</v>
      </c>
      <c r="Y13" s="2">
        <v>2</v>
      </c>
      <c r="Z13" s="2">
        <v>0.5</v>
      </c>
      <c r="AA13" s="2">
        <v>1</v>
      </c>
      <c r="AB13" s="1">
        <f>SUM(E13:AA13)</f>
        <v>29.5</v>
      </c>
      <c r="AC13" s="2">
        <v>3</v>
      </c>
      <c r="AD13" s="2">
        <v>0</v>
      </c>
      <c r="AE13" s="2">
        <v>2</v>
      </c>
      <c r="AF13" s="2">
        <v>2</v>
      </c>
      <c r="AG13" s="2">
        <v>0</v>
      </c>
      <c r="AH13" s="2">
        <v>0</v>
      </c>
      <c r="AI13" s="2">
        <v>0</v>
      </c>
      <c r="AJ13" s="2">
        <v>0</v>
      </c>
      <c r="AK13">
        <f t="shared" si="1"/>
        <v>7</v>
      </c>
      <c r="AL13">
        <f t="shared" si="2"/>
        <v>36.5</v>
      </c>
      <c r="AM13">
        <f t="shared" si="3"/>
        <v>3.65</v>
      </c>
      <c r="AN13" s="9">
        <f t="shared" si="4"/>
        <v>4.0555555555555554</v>
      </c>
      <c r="AO13" s="9">
        <f t="shared" si="5"/>
        <v>3.9818181818181824</v>
      </c>
      <c r="AP13" s="7">
        <f t="shared" si="6"/>
        <v>4</v>
      </c>
    </row>
    <row r="14" spans="1:43" x14ac:dyDescent="0.35">
      <c r="A14">
        <v>21335013</v>
      </c>
      <c r="B14" t="s">
        <v>19</v>
      </c>
      <c r="C14" t="s">
        <v>20</v>
      </c>
      <c r="E14" s="1">
        <v>1</v>
      </c>
      <c r="F14" s="1">
        <v>1</v>
      </c>
      <c r="G14" s="2">
        <v>2.5</v>
      </c>
      <c r="H14" s="2">
        <v>2</v>
      </c>
      <c r="I14" s="2">
        <v>1</v>
      </c>
      <c r="J14" s="2">
        <v>1</v>
      </c>
      <c r="K14" s="2">
        <v>0</v>
      </c>
      <c r="L14" s="2">
        <v>1</v>
      </c>
      <c r="M14" s="2">
        <v>2</v>
      </c>
      <c r="N14" s="2">
        <v>1.5</v>
      </c>
      <c r="O14" s="2">
        <v>1</v>
      </c>
      <c r="P14" s="2">
        <v>2</v>
      </c>
      <c r="Q14" s="2">
        <v>2</v>
      </c>
      <c r="R14" s="2">
        <v>2</v>
      </c>
      <c r="S14" s="2">
        <v>0.5</v>
      </c>
      <c r="T14" s="2">
        <v>1</v>
      </c>
      <c r="U14" s="2">
        <v>1.5</v>
      </c>
      <c r="V14" s="2">
        <v>0</v>
      </c>
      <c r="W14" s="2">
        <v>0.5</v>
      </c>
      <c r="X14" s="2">
        <v>1</v>
      </c>
      <c r="Y14" s="2">
        <v>2</v>
      </c>
      <c r="Z14" s="2">
        <v>1</v>
      </c>
      <c r="AA14" s="2">
        <v>0</v>
      </c>
      <c r="AB14" s="1">
        <f>SUM(E14:AA14)</f>
        <v>27.5</v>
      </c>
      <c r="AC14" s="2">
        <v>3</v>
      </c>
      <c r="AD14" s="2">
        <v>2</v>
      </c>
      <c r="AE14" s="2">
        <v>2</v>
      </c>
      <c r="AF14" s="2">
        <v>2</v>
      </c>
      <c r="AG14" s="2">
        <v>3</v>
      </c>
      <c r="AH14" s="2">
        <v>2</v>
      </c>
      <c r="AI14" s="2">
        <v>1</v>
      </c>
      <c r="AJ14" s="2">
        <v>0</v>
      </c>
      <c r="AK14">
        <f t="shared" si="1"/>
        <v>15</v>
      </c>
      <c r="AL14">
        <f t="shared" si="2"/>
        <v>42.5</v>
      </c>
      <c r="AM14">
        <f t="shared" si="3"/>
        <v>4.25</v>
      </c>
      <c r="AN14" s="9">
        <f t="shared" si="4"/>
        <v>4.7222222222222223</v>
      </c>
      <c r="AO14" s="9">
        <f t="shared" si="5"/>
        <v>4.6363636363636367</v>
      </c>
      <c r="AP14" s="7">
        <f t="shared" si="6"/>
        <v>4.75</v>
      </c>
    </row>
    <row r="15" spans="1:43" x14ac:dyDescent="0.35">
      <c r="A15">
        <v>21311154</v>
      </c>
      <c r="B15" t="s">
        <v>19</v>
      </c>
      <c r="C15" t="s">
        <v>21</v>
      </c>
      <c r="E15" s="1">
        <v>1</v>
      </c>
      <c r="F15" s="1">
        <v>0.5</v>
      </c>
      <c r="G15" s="3">
        <v>0.5</v>
      </c>
      <c r="H15" s="3">
        <v>0.5</v>
      </c>
      <c r="I15" s="3">
        <v>0</v>
      </c>
      <c r="J15" s="3">
        <v>0</v>
      </c>
      <c r="K15" s="3">
        <v>0</v>
      </c>
      <c r="L15" s="3">
        <v>0</v>
      </c>
      <c r="M15" s="3">
        <v>0.5</v>
      </c>
      <c r="N15" s="3">
        <v>0.5</v>
      </c>
      <c r="O15" s="3">
        <v>0.5</v>
      </c>
      <c r="P15" s="2">
        <v>0.5</v>
      </c>
      <c r="Q15" s="2">
        <v>0</v>
      </c>
      <c r="R15" s="2">
        <v>0</v>
      </c>
      <c r="S15" s="2">
        <v>0.5</v>
      </c>
      <c r="T15" s="2">
        <v>0</v>
      </c>
      <c r="U15" s="2">
        <v>1.5</v>
      </c>
      <c r="V15" s="2">
        <v>0</v>
      </c>
      <c r="W15" s="2">
        <v>0</v>
      </c>
      <c r="X15" s="2">
        <v>0</v>
      </c>
      <c r="Y15" s="2">
        <v>0</v>
      </c>
      <c r="Z15" s="2">
        <v>0.5</v>
      </c>
      <c r="AA15" s="2">
        <v>0</v>
      </c>
      <c r="AB15" s="1">
        <f>SUM(E15:AA15)</f>
        <v>7</v>
      </c>
      <c r="AC15" s="2">
        <v>1.5</v>
      </c>
      <c r="AD15" s="2">
        <v>1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>
        <f t="shared" si="1"/>
        <v>2.5</v>
      </c>
      <c r="AL15">
        <f t="shared" si="2"/>
        <v>9.5</v>
      </c>
      <c r="AM15">
        <f t="shared" si="3"/>
        <v>0.95</v>
      </c>
      <c r="AN15" s="9">
        <f t="shared" si="4"/>
        <v>1.0555555555555556</v>
      </c>
      <c r="AO15" s="9">
        <f t="shared" si="5"/>
        <v>1.0363636363636364</v>
      </c>
      <c r="AP15" s="8">
        <f t="shared" si="6"/>
        <v>1</v>
      </c>
    </row>
    <row r="16" spans="1:43" x14ac:dyDescent="0.35">
      <c r="A16">
        <v>21342993</v>
      </c>
      <c r="B16" t="s">
        <v>22</v>
      </c>
      <c r="C16" t="s">
        <v>23</v>
      </c>
      <c r="E16" s="3">
        <v>0</v>
      </c>
      <c r="F16" s="1">
        <v>1.5</v>
      </c>
      <c r="G16" s="2">
        <v>2</v>
      </c>
      <c r="H16" s="2">
        <v>1.5</v>
      </c>
      <c r="I16" s="2">
        <v>1.5</v>
      </c>
      <c r="J16" s="2">
        <v>1</v>
      </c>
      <c r="K16" s="2">
        <v>0</v>
      </c>
      <c r="L16" s="2">
        <v>1</v>
      </c>
      <c r="M16" s="2">
        <v>2</v>
      </c>
      <c r="N16" s="2">
        <v>0.5</v>
      </c>
      <c r="O16" s="2">
        <v>1</v>
      </c>
      <c r="P16" s="3">
        <v>1</v>
      </c>
      <c r="Q16" s="3">
        <v>2</v>
      </c>
      <c r="R16" s="3">
        <v>0</v>
      </c>
      <c r="S16" s="3">
        <v>2</v>
      </c>
      <c r="T16" s="3">
        <v>0</v>
      </c>
      <c r="U16" s="3">
        <v>2</v>
      </c>
      <c r="V16" s="3">
        <v>0.5</v>
      </c>
      <c r="W16" s="3">
        <v>0</v>
      </c>
      <c r="X16" s="3">
        <v>1</v>
      </c>
      <c r="Y16" s="3">
        <v>1.5</v>
      </c>
      <c r="Z16" s="3">
        <v>1.5</v>
      </c>
      <c r="AA16" s="3">
        <v>0</v>
      </c>
      <c r="AB16" s="1">
        <f>SUM(E16:AA16)</f>
        <v>23.5</v>
      </c>
      <c r="AC16" s="3">
        <v>3</v>
      </c>
      <c r="AD16" s="3">
        <v>0.5</v>
      </c>
      <c r="AE16" s="3">
        <v>0.5</v>
      </c>
      <c r="AF16" s="3">
        <v>2</v>
      </c>
      <c r="AG16" s="3">
        <v>1</v>
      </c>
      <c r="AH16" s="3">
        <v>0</v>
      </c>
      <c r="AI16" s="3">
        <v>0</v>
      </c>
      <c r="AJ16" s="3">
        <v>0</v>
      </c>
      <c r="AK16">
        <f t="shared" si="1"/>
        <v>7</v>
      </c>
      <c r="AL16">
        <f t="shared" si="2"/>
        <v>30.5</v>
      </c>
      <c r="AM16">
        <f t="shared" si="3"/>
        <v>3.05</v>
      </c>
      <c r="AN16" s="9">
        <f t="shared" si="4"/>
        <v>3.3888888888888884</v>
      </c>
      <c r="AO16" s="9">
        <f t="shared" si="5"/>
        <v>3.3272727272727272</v>
      </c>
      <c r="AP16" s="10">
        <f t="shared" si="6"/>
        <v>3.5</v>
      </c>
    </row>
    <row r="17" spans="1:42" x14ac:dyDescent="0.35">
      <c r="A17">
        <v>21345566</v>
      </c>
      <c r="B17" t="s">
        <v>24</v>
      </c>
      <c r="C17" t="s">
        <v>25</v>
      </c>
      <c r="E17" s="3">
        <v>1</v>
      </c>
      <c r="F17" s="1">
        <v>2</v>
      </c>
      <c r="G17" s="2">
        <v>1</v>
      </c>
      <c r="H17" s="2">
        <v>2</v>
      </c>
      <c r="I17" s="2">
        <v>2</v>
      </c>
      <c r="J17" s="2">
        <v>1</v>
      </c>
      <c r="K17" s="2">
        <v>0</v>
      </c>
      <c r="L17" s="2">
        <v>1.5</v>
      </c>
      <c r="M17" s="2">
        <v>2</v>
      </c>
      <c r="N17" s="2">
        <v>2.5</v>
      </c>
      <c r="O17" s="2">
        <v>1</v>
      </c>
      <c r="P17" s="2">
        <v>2</v>
      </c>
      <c r="Q17" s="2">
        <v>2</v>
      </c>
      <c r="R17" s="2">
        <v>2</v>
      </c>
      <c r="S17" s="2">
        <v>2</v>
      </c>
      <c r="T17" s="2">
        <v>2</v>
      </c>
      <c r="U17" s="2">
        <v>2</v>
      </c>
      <c r="V17" s="2">
        <v>0</v>
      </c>
      <c r="W17" s="2">
        <v>1</v>
      </c>
      <c r="X17" s="2">
        <v>1</v>
      </c>
      <c r="Y17" s="2">
        <v>2</v>
      </c>
      <c r="Z17" s="2">
        <v>1</v>
      </c>
      <c r="AA17" s="2">
        <v>1</v>
      </c>
      <c r="AB17" s="1">
        <f t="shared" si="0"/>
        <v>34</v>
      </c>
      <c r="AC17" s="2">
        <v>3</v>
      </c>
      <c r="AD17" s="2">
        <v>2</v>
      </c>
      <c r="AE17" s="2">
        <v>1.5</v>
      </c>
      <c r="AF17" s="2">
        <v>2</v>
      </c>
      <c r="AG17" s="2">
        <v>2</v>
      </c>
      <c r="AH17" s="2">
        <v>1</v>
      </c>
      <c r="AI17" s="2">
        <v>1</v>
      </c>
      <c r="AJ17" s="2">
        <v>1</v>
      </c>
      <c r="AK17">
        <f t="shared" si="1"/>
        <v>13.5</v>
      </c>
      <c r="AL17">
        <f t="shared" si="2"/>
        <v>47.5</v>
      </c>
      <c r="AM17">
        <f t="shared" si="3"/>
        <v>4.75</v>
      </c>
      <c r="AN17" s="9">
        <f t="shared" si="4"/>
        <v>5.2777777777777777</v>
      </c>
      <c r="AO17" s="9">
        <f t="shared" si="5"/>
        <v>5.1818181818181817</v>
      </c>
      <c r="AP17" s="7">
        <f t="shared" si="6"/>
        <v>5.25</v>
      </c>
    </row>
    <row r="18" spans="1:42" x14ac:dyDescent="0.35">
      <c r="B18" t="s">
        <v>38</v>
      </c>
      <c r="C18" t="s">
        <v>39</v>
      </c>
      <c r="E18" s="3">
        <v>1</v>
      </c>
      <c r="F18" s="1">
        <v>1</v>
      </c>
      <c r="G18" s="2">
        <v>2</v>
      </c>
      <c r="H18" s="2">
        <v>2</v>
      </c>
      <c r="I18" s="2">
        <v>2</v>
      </c>
      <c r="J18" s="2">
        <v>1.5</v>
      </c>
      <c r="K18" s="2">
        <v>1</v>
      </c>
      <c r="L18" s="2">
        <v>1</v>
      </c>
      <c r="M18" s="2">
        <v>2</v>
      </c>
      <c r="N18" s="2">
        <v>3</v>
      </c>
      <c r="O18" s="2">
        <v>1</v>
      </c>
      <c r="P18" s="2">
        <v>0.5</v>
      </c>
      <c r="Q18" s="2">
        <v>2</v>
      </c>
      <c r="R18" s="2">
        <v>2</v>
      </c>
      <c r="S18" s="2">
        <v>1.5</v>
      </c>
      <c r="T18" s="2">
        <v>2</v>
      </c>
      <c r="U18" s="2">
        <v>2</v>
      </c>
      <c r="V18" s="2">
        <v>0</v>
      </c>
      <c r="W18" s="2">
        <v>0</v>
      </c>
      <c r="X18" s="2">
        <v>0.5</v>
      </c>
      <c r="Y18" s="2">
        <v>2</v>
      </c>
      <c r="Z18" s="2">
        <v>2</v>
      </c>
      <c r="AA18" s="2">
        <v>1</v>
      </c>
      <c r="AB18" s="1">
        <f t="shared" si="0"/>
        <v>33</v>
      </c>
      <c r="AC18" s="2">
        <v>3</v>
      </c>
      <c r="AD18" s="2">
        <v>2</v>
      </c>
      <c r="AE18" s="2">
        <v>1.5</v>
      </c>
      <c r="AF18" s="2">
        <v>2</v>
      </c>
      <c r="AG18" s="2">
        <v>3</v>
      </c>
      <c r="AH18" s="2">
        <v>3</v>
      </c>
      <c r="AI18" s="2">
        <v>0.5</v>
      </c>
      <c r="AJ18" s="2">
        <v>1</v>
      </c>
      <c r="AK18">
        <f t="shared" si="1"/>
        <v>16</v>
      </c>
      <c r="AL18">
        <f t="shared" si="2"/>
        <v>49</v>
      </c>
      <c r="AM18">
        <f t="shared" si="3"/>
        <v>4.9000000000000004</v>
      </c>
      <c r="AN18" s="9">
        <f t="shared" si="4"/>
        <v>5.4444444444444446</v>
      </c>
      <c r="AO18" s="9">
        <f t="shared" si="5"/>
        <v>5.3454545454545457</v>
      </c>
      <c r="AP18" s="7">
        <f t="shared" si="6"/>
        <v>5.5</v>
      </c>
    </row>
    <row r="19" spans="1:42" x14ac:dyDescent="0.35">
      <c r="A19">
        <v>96319595</v>
      </c>
      <c r="B19" t="s">
        <v>26</v>
      </c>
      <c r="C19" t="s">
        <v>27</v>
      </c>
      <c r="E19" s="3">
        <v>0</v>
      </c>
      <c r="F19" s="1">
        <v>0.5</v>
      </c>
      <c r="G19" s="2">
        <v>0</v>
      </c>
      <c r="H19" s="2">
        <v>1.5</v>
      </c>
      <c r="I19" s="2">
        <v>1</v>
      </c>
      <c r="J19" s="2">
        <v>1</v>
      </c>
      <c r="K19" s="2">
        <v>0</v>
      </c>
      <c r="L19" s="2">
        <v>0.5</v>
      </c>
      <c r="M19" s="2">
        <v>2</v>
      </c>
      <c r="N19" s="2">
        <v>1.5</v>
      </c>
      <c r="O19" s="2">
        <v>1</v>
      </c>
      <c r="P19" s="2">
        <v>1</v>
      </c>
      <c r="Q19" s="2">
        <v>1</v>
      </c>
      <c r="R19" s="2">
        <v>1</v>
      </c>
      <c r="S19" s="2">
        <v>2</v>
      </c>
      <c r="T19" s="2">
        <v>1</v>
      </c>
      <c r="U19" s="2">
        <v>1</v>
      </c>
      <c r="V19" s="2">
        <v>0</v>
      </c>
      <c r="W19" s="2">
        <v>0.5</v>
      </c>
      <c r="X19" s="2">
        <v>1</v>
      </c>
      <c r="Y19" s="2">
        <v>1</v>
      </c>
      <c r="Z19" s="2">
        <v>1</v>
      </c>
      <c r="AA19" s="2">
        <v>0.5</v>
      </c>
      <c r="AB19" s="1">
        <f t="shared" si="0"/>
        <v>20</v>
      </c>
      <c r="AC19" s="2">
        <v>1.5</v>
      </c>
      <c r="AD19" s="2">
        <v>2</v>
      </c>
      <c r="AE19" s="2">
        <v>1</v>
      </c>
      <c r="AF19" s="2">
        <v>0.5</v>
      </c>
      <c r="AG19" s="2">
        <v>0</v>
      </c>
      <c r="AH19" s="2">
        <v>0</v>
      </c>
      <c r="AI19" s="2">
        <v>0</v>
      </c>
      <c r="AJ19" s="2">
        <v>0</v>
      </c>
      <c r="AK19">
        <f t="shared" si="1"/>
        <v>5</v>
      </c>
      <c r="AL19">
        <f t="shared" si="2"/>
        <v>25</v>
      </c>
      <c r="AM19">
        <f t="shared" si="3"/>
        <v>2.5</v>
      </c>
      <c r="AN19" s="9">
        <f t="shared" si="4"/>
        <v>2.7777777777777777</v>
      </c>
      <c r="AO19" s="9">
        <f t="shared" si="5"/>
        <v>2.7272727272727271</v>
      </c>
      <c r="AP19" s="8">
        <f t="shared" si="6"/>
        <v>2.75</v>
      </c>
    </row>
    <row r="20" spans="1:42" x14ac:dyDescent="0.35">
      <c r="A20">
        <v>20344164</v>
      </c>
      <c r="B20" t="s">
        <v>28</v>
      </c>
      <c r="C20" t="s">
        <v>29</v>
      </c>
      <c r="E20" s="3">
        <v>0</v>
      </c>
      <c r="F20" s="1">
        <v>2</v>
      </c>
      <c r="G20" s="2">
        <v>0.5</v>
      </c>
      <c r="H20" s="2">
        <v>2</v>
      </c>
      <c r="I20" s="1">
        <v>0</v>
      </c>
      <c r="J20" s="2">
        <v>1</v>
      </c>
      <c r="K20" s="2">
        <v>0</v>
      </c>
      <c r="L20" s="2">
        <v>2</v>
      </c>
      <c r="M20" s="2">
        <v>1</v>
      </c>
      <c r="N20" s="2">
        <v>2</v>
      </c>
      <c r="O20" s="2">
        <v>1</v>
      </c>
      <c r="P20" s="2">
        <v>2</v>
      </c>
      <c r="Q20" s="2">
        <v>2</v>
      </c>
      <c r="R20" s="2">
        <v>0</v>
      </c>
      <c r="S20" s="2">
        <v>2</v>
      </c>
      <c r="T20" s="2">
        <v>2</v>
      </c>
      <c r="U20" s="2">
        <v>2</v>
      </c>
      <c r="V20" s="2">
        <v>0.5</v>
      </c>
      <c r="W20" s="2">
        <v>1</v>
      </c>
      <c r="X20" s="2">
        <v>1</v>
      </c>
      <c r="Y20" s="2">
        <v>0.5</v>
      </c>
      <c r="Z20" s="2">
        <v>2</v>
      </c>
      <c r="AA20" s="2">
        <v>1</v>
      </c>
      <c r="AB20" s="1">
        <f t="shared" si="0"/>
        <v>27.5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0.5</v>
      </c>
      <c r="AI20" s="2">
        <v>0</v>
      </c>
      <c r="AJ20" s="2">
        <v>1</v>
      </c>
      <c r="AK20">
        <f t="shared" si="1"/>
        <v>1.5</v>
      </c>
      <c r="AL20">
        <f t="shared" si="2"/>
        <v>29</v>
      </c>
      <c r="AM20">
        <f t="shared" si="3"/>
        <v>2.9</v>
      </c>
      <c r="AN20" s="9">
        <f t="shared" si="4"/>
        <v>3.2222222222222223</v>
      </c>
      <c r="AO20" s="9">
        <f t="shared" si="5"/>
        <v>3.1636363636363631</v>
      </c>
      <c r="AP20" s="10">
        <f t="shared" si="6"/>
        <v>3.25</v>
      </c>
    </row>
    <row r="21" spans="1:42" x14ac:dyDescent="0.35">
      <c r="A21">
        <v>21345491</v>
      </c>
      <c r="B21" t="s">
        <v>40</v>
      </c>
      <c r="C21" t="s">
        <v>41</v>
      </c>
      <c r="E21" s="3">
        <v>1</v>
      </c>
      <c r="F21" s="1">
        <v>2</v>
      </c>
      <c r="G21" s="2">
        <v>2.5</v>
      </c>
      <c r="H21" s="2">
        <v>2</v>
      </c>
      <c r="I21" s="2">
        <v>1.5</v>
      </c>
      <c r="J21" s="2">
        <v>1</v>
      </c>
      <c r="K21" s="2">
        <v>1</v>
      </c>
      <c r="L21" s="2">
        <v>0.5</v>
      </c>
      <c r="M21" s="2">
        <v>2</v>
      </c>
      <c r="N21" s="2">
        <v>1.5</v>
      </c>
      <c r="O21" s="2">
        <v>1</v>
      </c>
      <c r="P21" s="2">
        <v>2</v>
      </c>
      <c r="Q21" s="2">
        <v>2</v>
      </c>
      <c r="R21" s="2">
        <v>2</v>
      </c>
      <c r="S21" s="2">
        <v>2</v>
      </c>
      <c r="T21" s="2">
        <v>0</v>
      </c>
      <c r="U21" s="2">
        <v>0</v>
      </c>
      <c r="V21" s="2">
        <v>0.5</v>
      </c>
      <c r="W21" s="2">
        <v>1</v>
      </c>
      <c r="X21" s="2">
        <v>1</v>
      </c>
      <c r="Y21" s="2">
        <v>2</v>
      </c>
      <c r="Z21" s="2">
        <v>2</v>
      </c>
      <c r="AA21" s="2">
        <v>1</v>
      </c>
      <c r="AB21" s="1">
        <f t="shared" si="0"/>
        <v>31.5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1</v>
      </c>
      <c r="AK21">
        <f t="shared" si="1"/>
        <v>1</v>
      </c>
      <c r="AL21">
        <f t="shared" si="2"/>
        <v>32.5</v>
      </c>
      <c r="AM21">
        <f t="shared" si="3"/>
        <v>3.25</v>
      </c>
      <c r="AN21" s="9">
        <f t="shared" si="4"/>
        <v>3.6111111111111112</v>
      </c>
      <c r="AO21" s="9">
        <f t="shared" si="5"/>
        <v>3.5454545454545459</v>
      </c>
      <c r="AP21" s="10">
        <f t="shared" si="6"/>
        <v>3.5</v>
      </c>
    </row>
    <row r="24" spans="1:42" x14ac:dyDescent="0.35">
      <c r="AK24" t="s">
        <v>81</v>
      </c>
      <c r="AL24" s="9">
        <f>MIN(AL3:AL21)</f>
        <v>9.5</v>
      </c>
      <c r="AM24" s="9">
        <f t="shared" ref="AM24:AP24" si="7">MIN(AM3:AM21)</f>
        <v>0.95</v>
      </c>
      <c r="AN24" s="9">
        <f t="shared" si="7"/>
        <v>1.0555555555555556</v>
      </c>
      <c r="AO24" s="9">
        <f t="shared" si="7"/>
        <v>1.0363636363636364</v>
      </c>
      <c r="AP24" s="9">
        <f t="shared" si="7"/>
        <v>1</v>
      </c>
    </row>
    <row r="25" spans="1:42" x14ac:dyDescent="0.35">
      <c r="AK25" t="s">
        <v>86</v>
      </c>
      <c r="AL25" s="9">
        <f>MEDIAN(AL3:AL21)</f>
        <v>35.25</v>
      </c>
      <c r="AM25" s="9">
        <f>MEDIAN(AM3:AM21)</f>
        <v>3.5249999999999999</v>
      </c>
      <c r="AN25" s="9">
        <f>MEDIAN(AN3:AN21)</f>
        <v>3.916666666666667</v>
      </c>
      <c r="AO25" s="9">
        <f>MEDIAN(AO3:AO21)</f>
        <v>3.8454545454545457</v>
      </c>
      <c r="AP25" s="9">
        <f>MEDIAN(AP3:AP21)</f>
        <v>4</v>
      </c>
    </row>
    <row r="26" spans="1:42" x14ac:dyDescent="0.35">
      <c r="AK26" t="s">
        <v>83</v>
      </c>
      <c r="AL26" s="9">
        <f>_xlfn.PERCENTILE.EXC(AL3:AL21,0.8)</f>
        <v>43.900000000000006</v>
      </c>
      <c r="AM26" s="9">
        <f t="shared" ref="AM26:AP26" si="8">_xlfn.PERCENTILE.EXC(AM3:AM21,0.8)</f>
        <v>4.3899999999999997</v>
      </c>
      <c r="AN26" s="9">
        <f t="shared" si="8"/>
        <v>4.8777777777777782</v>
      </c>
      <c r="AO26" s="9">
        <f t="shared" si="8"/>
        <v>4.7890909090909091</v>
      </c>
      <c r="AP26" s="9">
        <f t="shared" si="8"/>
        <v>4.8000000000000007</v>
      </c>
    </row>
    <row r="27" spans="1:42" x14ac:dyDescent="0.35">
      <c r="AK27" t="s">
        <v>82</v>
      </c>
      <c r="AL27" s="9">
        <f>_xlfn.PERCENTILE.EXC(AL3:AL21,0.9)</f>
        <v>47.650000000000006</v>
      </c>
      <c r="AM27" s="9">
        <f t="shared" ref="AM27:AP27" si="9">_xlfn.PERCENTILE.EXC(AM3:AM21,0.9)</f>
        <v>4.7650000000000006</v>
      </c>
      <c r="AN27" s="9">
        <f t="shared" si="9"/>
        <v>5.2944444444444443</v>
      </c>
      <c r="AO27" s="9">
        <f t="shared" si="9"/>
        <v>5.1981818181818182</v>
      </c>
      <c r="AP27" s="9">
        <f t="shared" si="9"/>
        <v>5.2750000000000004</v>
      </c>
    </row>
    <row r="28" spans="1:42" x14ac:dyDescent="0.35">
      <c r="AK28" t="s">
        <v>84</v>
      </c>
      <c r="AL28" s="9">
        <f>MAX(AL3:AL21)</f>
        <v>49</v>
      </c>
      <c r="AM28" s="9">
        <f t="shared" ref="AM28:AP28" si="10">MAX(AM3:AM21)</f>
        <v>4.9000000000000004</v>
      </c>
      <c r="AN28" s="9">
        <f t="shared" si="10"/>
        <v>5.4444444444444446</v>
      </c>
      <c r="AO28" s="9">
        <f t="shared" si="10"/>
        <v>5.3454545454545457</v>
      </c>
      <c r="AP28" s="9">
        <f t="shared" si="10"/>
        <v>5.5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Poilane</dc:creator>
  <cp:lastModifiedBy>Eva Cantoni</cp:lastModifiedBy>
  <dcterms:created xsi:type="dcterms:W3CDTF">2022-06-10T15:41:11Z</dcterms:created>
  <dcterms:modified xsi:type="dcterms:W3CDTF">2022-06-19T12:40:09Z</dcterms:modified>
</cp:coreProperties>
</file>